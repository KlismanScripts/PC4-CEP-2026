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UNI 26-1\CONTROL ESTADISTICO DE PROCESOS\pc4\PC4-CEP-2026\preguntas\p3\excel\"/>
    </mc:Choice>
  </mc:AlternateContent>
  <xr:revisionPtr revIDLastSave="0" documentId="13_ncr:1_{EC1B4717-1E0D-4378-8440-1622AAEEED94}" xr6:coauthVersionLast="47" xr6:coauthVersionMax="47" xr10:uidLastSave="{00000000-0000-0000-0000-000000000000}"/>
  <bookViews>
    <workbookView xWindow="-108" yWindow="-108" windowWidth="23256" windowHeight="12456" xr2:uid="{A2A0E039-4A0C-454A-A7DD-1E950692A90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8" i="1" l="1"/>
  <c r="M8" i="1"/>
  <c r="M7" i="1"/>
  <c r="N5" i="1"/>
  <c r="M5" i="1"/>
  <c r="M4" i="1"/>
  <c r="J74" i="1"/>
  <c r="I74" i="1"/>
  <c r="J73" i="1"/>
  <c r="I73" i="1"/>
  <c r="J72" i="1"/>
  <c r="I72" i="1"/>
  <c r="J71" i="1"/>
  <c r="I71" i="1"/>
  <c r="J70" i="1"/>
  <c r="I70" i="1"/>
  <c r="J69" i="1"/>
  <c r="I69" i="1"/>
  <c r="J68" i="1"/>
  <c r="I68" i="1"/>
  <c r="J67" i="1"/>
  <c r="I67" i="1"/>
  <c r="J66" i="1"/>
  <c r="I66" i="1"/>
  <c r="J65" i="1"/>
  <c r="I65" i="1"/>
  <c r="J64" i="1"/>
  <c r="I64" i="1"/>
  <c r="J63" i="1"/>
  <c r="I63" i="1"/>
  <c r="J62" i="1"/>
  <c r="I62" i="1"/>
  <c r="J61" i="1"/>
  <c r="I61" i="1"/>
  <c r="J60" i="1"/>
  <c r="I60" i="1"/>
  <c r="J59" i="1"/>
  <c r="I59" i="1"/>
  <c r="J58" i="1"/>
  <c r="I58" i="1"/>
  <c r="J57" i="1"/>
  <c r="I57" i="1"/>
  <c r="J56" i="1"/>
  <c r="I56" i="1"/>
  <c r="J55" i="1"/>
  <c r="I55" i="1"/>
  <c r="J54" i="1"/>
  <c r="I54" i="1"/>
  <c r="J53" i="1"/>
  <c r="I53" i="1"/>
  <c r="J52" i="1"/>
  <c r="I52" i="1"/>
  <c r="J51" i="1"/>
  <c r="I51" i="1"/>
  <c r="J50" i="1"/>
  <c r="I50" i="1"/>
  <c r="J49" i="1"/>
  <c r="I49" i="1"/>
  <c r="J48" i="1"/>
  <c r="I48" i="1"/>
  <c r="J47" i="1"/>
  <c r="I47" i="1"/>
  <c r="J46" i="1"/>
  <c r="I46" i="1"/>
  <c r="J45" i="1"/>
  <c r="I45" i="1"/>
  <c r="J44" i="1"/>
  <c r="I44" i="1"/>
  <c r="J43" i="1"/>
  <c r="I43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J31" i="1"/>
  <c r="I31" i="1"/>
  <c r="J30" i="1"/>
  <c r="I30" i="1"/>
  <c r="J29" i="1"/>
  <c r="I29" i="1"/>
  <c r="J28" i="1"/>
  <c r="I28" i="1"/>
  <c r="J27" i="1"/>
  <c r="I27" i="1"/>
  <c r="J26" i="1"/>
  <c r="I26" i="1"/>
  <c r="J25" i="1"/>
  <c r="I25" i="1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E16" i="1"/>
  <c r="E15" i="1"/>
  <c r="E14" i="1"/>
  <c r="E13" i="1"/>
  <c r="B16" i="1"/>
  <c r="B15" i="1"/>
  <c r="B14" i="1"/>
  <c r="B13" i="1"/>
  <c r="E5" i="1"/>
  <c r="E4" i="1"/>
</calcChain>
</file>

<file path=xl/sharedStrings.xml><?xml version="1.0" encoding="utf-8"?>
<sst xmlns="http://schemas.openxmlformats.org/spreadsheetml/2006/main" count="30" uniqueCount="28">
  <si>
    <t>ANÁLISIS DE CAPACIDAD: CORTO PLAZO (Cp) VS LARGO PLAZO (Pp)</t>
  </si>
  <si>
    <t>DATOS DEL PROCESO</t>
  </si>
  <si>
    <t>Media (X-barra):</t>
  </si>
  <si>
    <t>Rango Promedio (R):</t>
  </si>
  <si>
    <t>Constante d2 (n=5):</t>
  </si>
  <si>
    <t>Desv. Est. Global (s):</t>
  </si>
  <si>
    <t>LSL (Límite Inferior):</t>
  </si>
  <si>
    <t>USL (Límite Superior):</t>
  </si>
  <si>
    <t>ESTIMACIÓN DE VARIACIÓN (SIGMA)</t>
  </si>
  <si>
    <t>Sigma_within (Corto):</t>
  </si>
  <si>
    <t>Sigma_overall (Largo):</t>
  </si>
  <si>
    <t>COMPARATIVA DE ÍNDICES DE CAPACIDAD</t>
  </si>
  <si>
    <t>CORTO PLAZO (Cp, Cpk)</t>
  </si>
  <si>
    <t>Cp =</t>
  </si>
  <si>
    <t>Cpi =</t>
  </si>
  <si>
    <t>Cps =</t>
  </si>
  <si>
    <t>Cpk =</t>
  </si>
  <si>
    <t>LARGO PLAZO (Pp, Ppk)</t>
  </si>
  <si>
    <t>Pp =</t>
  </si>
  <si>
    <t>Ppi =</t>
  </si>
  <si>
    <t>Pps =</t>
  </si>
  <si>
    <t>Ppk =</t>
  </si>
  <si>
    <t>DATOS PARA CURVAS (Distribución Normal)</t>
  </si>
  <si>
    <t>Desviación (X)</t>
  </si>
  <si>
    <t>Corto Plazo (Y)</t>
  </si>
  <si>
    <t>Largo Plazo (Y)</t>
  </si>
  <si>
    <t>LSL</t>
  </si>
  <si>
    <t>USL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</si>
</sst>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8DC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E6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164" fontId="1" fillId="0" borderId="0" xfId="0" applyNumberFormat="1" applyFont="1"/>
    <xf numFmtId="2" fontId="0" fillId="4" borderId="0" xfId="0" applyNumberFormat="1" applyFill="1"/>
    <xf numFmtId="2" fontId="0" fillId="5" borderId="0" xfId="0" applyNumberFormat="1" applyFill="1"/>
    <xf numFmtId="2" fontId="1" fillId="4" borderId="0" xfId="0" applyNumberFormat="1" applyFont="1" applyFill="1"/>
    <xf numFmtId="2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s-PE"/>
              <a:t>Capacidad del Brazo Robótico (Corto vs Largo Plazo)</a:t>
            </a:r>
          </a:p>
        </c:rich>
      </c:tx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Corto Plazo (Cp)</c:v>
          </c:tx>
          <c:spPr>
            <a:ln w="317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Hoja1!$H$5:$H$75</c:f>
              <c:numCache>
                <c:formatCode>General</c:formatCode>
                <c:ptCount val="71"/>
                <c:pt idx="0">
                  <c:v>-0.7</c:v>
                </c:pt>
                <c:pt idx="1">
                  <c:v>-0.67999999999999994</c:v>
                </c:pt>
                <c:pt idx="2">
                  <c:v>-0.65999999999999992</c:v>
                </c:pt>
                <c:pt idx="3">
                  <c:v>-0.6399999999999999</c:v>
                </c:pt>
                <c:pt idx="4">
                  <c:v>-0.61999999999999988</c:v>
                </c:pt>
                <c:pt idx="5">
                  <c:v>-0.59999999999999987</c:v>
                </c:pt>
                <c:pt idx="6">
                  <c:v>-0.57999999999999985</c:v>
                </c:pt>
                <c:pt idx="7">
                  <c:v>-0.55999999999999983</c:v>
                </c:pt>
                <c:pt idx="8">
                  <c:v>-0.53999999999999981</c:v>
                </c:pt>
                <c:pt idx="9">
                  <c:v>-0.5199999999999998</c:v>
                </c:pt>
                <c:pt idx="10">
                  <c:v>-0.49999999999999978</c:v>
                </c:pt>
                <c:pt idx="11">
                  <c:v>-0.47999999999999976</c:v>
                </c:pt>
                <c:pt idx="12">
                  <c:v>-0.45999999999999974</c:v>
                </c:pt>
                <c:pt idx="13">
                  <c:v>-0.43999999999999972</c:v>
                </c:pt>
                <c:pt idx="14">
                  <c:v>-0.41999999999999971</c:v>
                </c:pt>
                <c:pt idx="15">
                  <c:v>-0.39999999999999969</c:v>
                </c:pt>
                <c:pt idx="16">
                  <c:v>-0.37999999999999967</c:v>
                </c:pt>
                <c:pt idx="17">
                  <c:v>-0.35999999999999965</c:v>
                </c:pt>
                <c:pt idx="18">
                  <c:v>-0.33999999999999964</c:v>
                </c:pt>
                <c:pt idx="19">
                  <c:v>-0.31999999999999962</c:v>
                </c:pt>
                <c:pt idx="20">
                  <c:v>-0.2999999999999996</c:v>
                </c:pt>
                <c:pt idx="21">
                  <c:v>-0.27999999999999958</c:v>
                </c:pt>
                <c:pt idx="22">
                  <c:v>-0.25999999999999956</c:v>
                </c:pt>
                <c:pt idx="23">
                  <c:v>-0.23999999999999957</c:v>
                </c:pt>
                <c:pt idx="24">
                  <c:v>-0.21999999999999958</c:v>
                </c:pt>
                <c:pt idx="25">
                  <c:v>-0.19999999999999959</c:v>
                </c:pt>
                <c:pt idx="26">
                  <c:v>-0.1799999999999996</c:v>
                </c:pt>
                <c:pt idx="27">
                  <c:v>-0.15999999999999961</c:v>
                </c:pt>
                <c:pt idx="28">
                  <c:v>-0.13999999999999962</c:v>
                </c:pt>
                <c:pt idx="29">
                  <c:v>-0.11999999999999962</c:v>
                </c:pt>
                <c:pt idx="30">
                  <c:v>-9.9999999999999617E-2</c:v>
                </c:pt>
                <c:pt idx="31">
                  <c:v>-7.9999999999999613E-2</c:v>
                </c:pt>
                <c:pt idx="32">
                  <c:v>-5.9999999999999609E-2</c:v>
                </c:pt>
                <c:pt idx="33">
                  <c:v>-3.9999999999999605E-2</c:v>
                </c:pt>
                <c:pt idx="34">
                  <c:v>-1.9999999999999605E-2</c:v>
                </c:pt>
                <c:pt idx="35">
                  <c:v>3.9551695252271202E-16</c:v>
                </c:pt>
                <c:pt idx="36">
                  <c:v>2.0000000000000396E-2</c:v>
                </c:pt>
                <c:pt idx="37">
                  <c:v>4.0000000000000396E-2</c:v>
                </c:pt>
                <c:pt idx="38">
                  <c:v>6.00000000000004E-2</c:v>
                </c:pt>
                <c:pt idx="39">
                  <c:v>8.0000000000000404E-2</c:v>
                </c:pt>
                <c:pt idx="40">
                  <c:v>0.10000000000000041</c:v>
                </c:pt>
                <c:pt idx="41">
                  <c:v>0.12000000000000041</c:v>
                </c:pt>
                <c:pt idx="42">
                  <c:v>0.1400000000000004</c:v>
                </c:pt>
                <c:pt idx="43">
                  <c:v>0.16000000000000039</c:v>
                </c:pt>
                <c:pt idx="44">
                  <c:v>0.18000000000000038</c:v>
                </c:pt>
                <c:pt idx="45">
                  <c:v>0.20000000000000037</c:v>
                </c:pt>
                <c:pt idx="46">
                  <c:v>0.22000000000000036</c:v>
                </c:pt>
                <c:pt idx="47">
                  <c:v>0.24000000000000035</c:v>
                </c:pt>
                <c:pt idx="48">
                  <c:v>0.26000000000000034</c:v>
                </c:pt>
                <c:pt idx="49">
                  <c:v>0.28000000000000036</c:v>
                </c:pt>
                <c:pt idx="50">
                  <c:v>0.30000000000000038</c:v>
                </c:pt>
                <c:pt idx="51">
                  <c:v>0.3200000000000004</c:v>
                </c:pt>
                <c:pt idx="52">
                  <c:v>0.34000000000000041</c:v>
                </c:pt>
                <c:pt idx="53">
                  <c:v>0.36000000000000043</c:v>
                </c:pt>
                <c:pt idx="54">
                  <c:v>0.38000000000000045</c:v>
                </c:pt>
                <c:pt idx="55">
                  <c:v>0.40000000000000047</c:v>
                </c:pt>
                <c:pt idx="56">
                  <c:v>0.42000000000000048</c:v>
                </c:pt>
                <c:pt idx="57">
                  <c:v>0.4400000000000005</c:v>
                </c:pt>
                <c:pt idx="58">
                  <c:v>0.46000000000000052</c:v>
                </c:pt>
                <c:pt idx="59">
                  <c:v>0.48000000000000054</c:v>
                </c:pt>
                <c:pt idx="60">
                  <c:v>0.50000000000000056</c:v>
                </c:pt>
                <c:pt idx="61">
                  <c:v>0.52000000000000057</c:v>
                </c:pt>
                <c:pt idx="62">
                  <c:v>0.54000000000000059</c:v>
                </c:pt>
                <c:pt idx="63">
                  <c:v>0.56000000000000061</c:v>
                </c:pt>
                <c:pt idx="64">
                  <c:v>0.58000000000000063</c:v>
                </c:pt>
                <c:pt idx="65">
                  <c:v>0.60000000000000064</c:v>
                </c:pt>
                <c:pt idx="66">
                  <c:v>0.62000000000000066</c:v>
                </c:pt>
                <c:pt idx="67">
                  <c:v>0.64000000000000068</c:v>
                </c:pt>
                <c:pt idx="68">
                  <c:v>0.6600000000000007</c:v>
                </c:pt>
                <c:pt idx="69">
                  <c:v>0.68000000000000071</c:v>
                </c:pt>
              </c:numCache>
            </c:numRef>
          </c:xVal>
          <c:yVal>
            <c:numRef>
              <c:f>Hoja1!$I$5:$I$75</c:f>
              <c:numCache>
                <c:formatCode>General</c:formatCode>
                <c:ptCount val="71"/>
                <c:pt idx="0">
                  <c:v>8.2228652251627953E-19</c:v>
                </c:pt>
                <c:pt idx="1">
                  <c:v>8.8066222647056809E-18</c:v>
                </c:pt>
                <c:pt idx="2">
                  <c:v>8.8224154262356799E-17</c:v>
                </c:pt>
                <c:pt idx="3">
                  <c:v>8.2671834886168767E-16</c:v>
                </c:pt>
                <c:pt idx="4">
                  <c:v>7.2463546927899019E-15</c:v>
                </c:pt>
                <c:pt idx="5">
                  <c:v>5.941191310883852E-14</c:v>
                </c:pt>
                <c:pt idx="6">
                  <c:v>4.5563746253597853E-13</c:v>
                </c:pt>
                <c:pt idx="7">
                  <c:v>3.2685659343066617E-12</c:v>
                </c:pt>
                <c:pt idx="8">
                  <c:v>2.1932443219604414E-11</c:v>
                </c:pt>
                <c:pt idx="9">
                  <c:v>1.3766030119243497E-10</c:v>
                </c:pt>
                <c:pt idx="10">
                  <c:v>8.0820653041909126E-10</c:v>
                </c:pt>
                <c:pt idx="11">
                  <c:v>4.4384152669241168E-9</c:v>
                </c:pt>
                <c:pt idx="12">
                  <c:v>2.2799506637981808E-8</c:v>
                </c:pt>
                <c:pt idx="13">
                  <c:v>1.0955063608293538E-7</c:v>
                </c:pt>
                <c:pt idx="14">
                  <c:v>4.9237534244854784E-7</c:v>
                </c:pt>
                <c:pt idx="15">
                  <c:v>2.0699965723212749E-6</c:v>
                </c:pt>
                <c:pt idx="16">
                  <c:v>8.1401966167002311E-6</c:v>
                </c:pt>
                <c:pt idx="17">
                  <c:v>2.9942778769590995E-5</c:v>
                </c:pt>
                <c:pt idx="18">
                  <c:v>1.0302467338274425E-4</c:v>
                </c:pt>
                <c:pt idx="19">
                  <c:v>3.315754206665055E-4</c:v>
                </c:pt>
                <c:pt idx="20">
                  <c:v>9.9819490848948242E-4</c:v>
                </c:pt>
                <c:pt idx="21">
                  <c:v>2.8108670816885824E-3</c:v>
                </c:pt>
                <c:pt idx="22">
                  <c:v>7.4038431002649476E-3</c:v>
                </c:pt>
                <c:pt idx="23">
                  <c:v>1.8241730789892861E-2</c:v>
                </c:pt>
                <c:pt idx="24">
                  <c:v>4.2040397689136547E-2</c:v>
                </c:pt>
                <c:pt idx="25">
                  <c:v>9.0627401368394964E-2</c:v>
                </c:pt>
                <c:pt idx="26">
                  <c:v>0.18274444194906836</c:v>
                </c:pt>
                <c:pt idx="27">
                  <c:v>0.34468371484122523</c:v>
                </c:pt>
                <c:pt idx="28">
                  <c:v>0.60812000571567004</c:v>
                </c:pt>
                <c:pt idx="29">
                  <c:v>1.0035748172830012</c:v>
                </c:pt>
                <c:pt idx="30">
                  <c:v>1.5491809833299655</c:v>
                </c:pt>
                <c:pt idx="31">
                  <c:v>2.2368996295679016</c:v>
                </c:pt>
                <c:pt idx="32">
                  <c:v>3.0212229570168034</c:v>
                </c:pt>
                <c:pt idx="33">
                  <c:v>3.8169018521901621</c:v>
                </c:pt>
                <c:pt idx="34">
                  <c:v>4.5105670948214991</c:v>
                </c:pt>
                <c:pt idx="35">
                  <c:v>4.9858962845517372</c:v>
                </c:pt>
                <c:pt idx="36">
                  <c:v>5.1552208011874026</c:v>
                </c:pt>
                <c:pt idx="37">
                  <c:v>4.985896284551723</c:v>
                </c:pt>
                <c:pt idx="38">
                  <c:v>4.510567094821476</c:v>
                </c:pt>
                <c:pt idx="39">
                  <c:v>3.8169018521901315</c:v>
                </c:pt>
                <c:pt idx="40">
                  <c:v>3.0212229570167715</c:v>
                </c:pt>
                <c:pt idx="41">
                  <c:v>2.2368996295678727</c:v>
                </c:pt>
                <c:pt idx="42">
                  <c:v>1.5491809833299417</c:v>
                </c:pt>
                <c:pt idx="43">
                  <c:v>1.0035748172829824</c:v>
                </c:pt>
                <c:pt idx="44">
                  <c:v>0.60812000571565705</c:v>
                </c:pt>
                <c:pt idx="45">
                  <c:v>0.34468371484121707</c:v>
                </c:pt>
                <c:pt idx="46">
                  <c:v>0.18274444194906375</c:v>
                </c:pt>
                <c:pt idx="47">
                  <c:v>9.0627401368392452E-2</c:v>
                </c:pt>
                <c:pt idx="48">
                  <c:v>4.2040397689135207E-2</c:v>
                </c:pt>
                <c:pt idx="49">
                  <c:v>1.8241730789892233E-2</c:v>
                </c:pt>
                <c:pt idx="50">
                  <c:v>7.4038431002646796E-3</c:v>
                </c:pt>
                <c:pt idx="51">
                  <c:v>2.8108670816884701E-3</c:v>
                </c:pt>
                <c:pt idx="52">
                  <c:v>9.9819490848944144E-4</c:v>
                </c:pt>
                <c:pt idx="53">
                  <c:v>3.3157542066649141E-4</c:v>
                </c:pt>
                <c:pt idx="54">
                  <c:v>1.0302467338273947E-4</c:v>
                </c:pt>
                <c:pt idx="55">
                  <c:v>2.9942778769589555E-5</c:v>
                </c:pt>
                <c:pt idx="56">
                  <c:v>8.140196616699828E-6</c:v>
                </c:pt>
                <c:pt idx="57">
                  <c:v>2.0699965723211648E-6</c:v>
                </c:pt>
                <c:pt idx="58">
                  <c:v>4.9237534244852158E-7</c:v>
                </c:pt>
                <c:pt idx="59">
                  <c:v>1.0955063608292915E-7</c:v>
                </c:pt>
                <c:pt idx="60">
                  <c:v>2.2799506637980429E-8</c:v>
                </c:pt>
                <c:pt idx="61">
                  <c:v>4.4384152669238322E-9</c:v>
                </c:pt>
                <c:pt idx="62">
                  <c:v>8.0820653041903956E-10</c:v>
                </c:pt>
                <c:pt idx="63">
                  <c:v>1.3766030119242566E-10</c:v>
                </c:pt>
                <c:pt idx="64">
                  <c:v>2.1932443219602856E-11</c:v>
                </c:pt>
                <c:pt idx="65">
                  <c:v>3.2685659343064291E-12</c:v>
                </c:pt>
                <c:pt idx="66">
                  <c:v>4.5563746253594289E-13</c:v>
                </c:pt>
                <c:pt idx="67">
                  <c:v>5.9411913108834304E-14</c:v>
                </c:pt>
                <c:pt idx="68">
                  <c:v>7.2463546927893876E-15</c:v>
                </c:pt>
                <c:pt idx="69">
                  <c:v>8.2671834886162318E-16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20E-4276-8674-9E160832ADBE}"/>
            </c:ext>
          </c:extLst>
        </c:ser>
        <c:ser>
          <c:idx val="1"/>
          <c:order val="1"/>
          <c:tx>
            <c:v>Largo Plazo (Pp)</c:v>
          </c:tx>
          <c:spPr>
            <a:ln w="31750">
              <a:solidFill>
                <a:srgbClr val="FF9600"/>
              </a:solidFill>
              <a:prstDash val="dash"/>
            </a:ln>
          </c:spPr>
          <c:marker>
            <c:symbol val="none"/>
          </c:marker>
          <c:xVal>
            <c:numRef>
              <c:f>Hoja1!$H$5:$H$75</c:f>
              <c:numCache>
                <c:formatCode>General</c:formatCode>
                <c:ptCount val="71"/>
                <c:pt idx="0">
                  <c:v>-0.7</c:v>
                </c:pt>
                <c:pt idx="1">
                  <c:v>-0.67999999999999994</c:v>
                </c:pt>
                <c:pt idx="2">
                  <c:v>-0.65999999999999992</c:v>
                </c:pt>
                <c:pt idx="3">
                  <c:v>-0.6399999999999999</c:v>
                </c:pt>
                <c:pt idx="4">
                  <c:v>-0.61999999999999988</c:v>
                </c:pt>
                <c:pt idx="5">
                  <c:v>-0.59999999999999987</c:v>
                </c:pt>
                <c:pt idx="6">
                  <c:v>-0.57999999999999985</c:v>
                </c:pt>
                <c:pt idx="7">
                  <c:v>-0.55999999999999983</c:v>
                </c:pt>
                <c:pt idx="8">
                  <c:v>-0.53999999999999981</c:v>
                </c:pt>
                <c:pt idx="9">
                  <c:v>-0.5199999999999998</c:v>
                </c:pt>
                <c:pt idx="10">
                  <c:v>-0.49999999999999978</c:v>
                </c:pt>
                <c:pt idx="11">
                  <c:v>-0.47999999999999976</c:v>
                </c:pt>
                <c:pt idx="12">
                  <c:v>-0.45999999999999974</c:v>
                </c:pt>
                <c:pt idx="13">
                  <c:v>-0.43999999999999972</c:v>
                </c:pt>
                <c:pt idx="14">
                  <c:v>-0.41999999999999971</c:v>
                </c:pt>
                <c:pt idx="15">
                  <c:v>-0.39999999999999969</c:v>
                </c:pt>
                <c:pt idx="16">
                  <c:v>-0.37999999999999967</c:v>
                </c:pt>
                <c:pt idx="17">
                  <c:v>-0.35999999999999965</c:v>
                </c:pt>
                <c:pt idx="18">
                  <c:v>-0.33999999999999964</c:v>
                </c:pt>
                <c:pt idx="19">
                  <c:v>-0.31999999999999962</c:v>
                </c:pt>
                <c:pt idx="20">
                  <c:v>-0.2999999999999996</c:v>
                </c:pt>
                <c:pt idx="21">
                  <c:v>-0.27999999999999958</c:v>
                </c:pt>
                <c:pt idx="22">
                  <c:v>-0.25999999999999956</c:v>
                </c:pt>
                <c:pt idx="23">
                  <c:v>-0.23999999999999957</c:v>
                </c:pt>
                <c:pt idx="24">
                  <c:v>-0.21999999999999958</c:v>
                </c:pt>
                <c:pt idx="25">
                  <c:v>-0.19999999999999959</c:v>
                </c:pt>
                <c:pt idx="26">
                  <c:v>-0.1799999999999996</c:v>
                </c:pt>
                <c:pt idx="27">
                  <c:v>-0.15999999999999961</c:v>
                </c:pt>
                <c:pt idx="28">
                  <c:v>-0.13999999999999962</c:v>
                </c:pt>
                <c:pt idx="29">
                  <c:v>-0.11999999999999962</c:v>
                </c:pt>
                <c:pt idx="30">
                  <c:v>-9.9999999999999617E-2</c:v>
                </c:pt>
                <c:pt idx="31">
                  <c:v>-7.9999999999999613E-2</c:v>
                </c:pt>
                <c:pt idx="32">
                  <c:v>-5.9999999999999609E-2</c:v>
                </c:pt>
                <c:pt idx="33">
                  <c:v>-3.9999999999999605E-2</c:v>
                </c:pt>
                <c:pt idx="34">
                  <c:v>-1.9999999999999605E-2</c:v>
                </c:pt>
                <c:pt idx="35">
                  <c:v>3.9551695252271202E-16</c:v>
                </c:pt>
                <c:pt idx="36">
                  <c:v>2.0000000000000396E-2</c:v>
                </c:pt>
                <c:pt idx="37">
                  <c:v>4.0000000000000396E-2</c:v>
                </c:pt>
                <c:pt idx="38">
                  <c:v>6.00000000000004E-2</c:v>
                </c:pt>
                <c:pt idx="39">
                  <c:v>8.0000000000000404E-2</c:v>
                </c:pt>
                <c:pt idx="40">
                  <c:v>0.10000000000000041</c:v>
                </c:pt>
                <c:pt idx="41">
                  <c:v>0.12000000000000041</c:v>
                </c:pt>
                <c:pt idx="42">
                  <c:v>0.1400000000000004</c:v>
                </c:pt>
                <c:pt idx="43">
                  <c:v>0.16000000000000039</c:v>
                </c:pt>
                <c:pt idx="44">
                  <c:v>0.18000000000000038</c:v>
                </c:pt>
                <c:pt idx="45">
                  <c:v>0.20000000000000037</c:v>
                </c:pt>
                <c:pt idx="46">
                  <c:v>0.22000000000000036</c:v>
                </c:pt>
                <c:pt idx="47">
                  <c:v>0.24000000000000035</c:v>
                </c:pt>
                <c:pt idx="48">
                  <c:v>0.26000000000000034</c:v>
                </c:pt>
                <c:pt idx="49">
                  <c:v>0.28000000000000036</c:v>
                </c:pt>
                <c:pt idx="50">
                  <c:v>0.30000000000000038</c:v>
                </c:pt>
                <c:pt idx="51">
                  <c:v>0.3200000000000004</c:v>
                </c:pt>
                <c:pt idx="52">
                  <c:v>0.34000000000000041</c:v>
                </c:pt>
                <c:pt idx="53">
                  <c:v>0.36000000000000043</c:v>
                </c:pt>
                <c:pt idx="54">
                  <c:v>0.38000000000000045</c:v>
                </c:pt>
                <c:pt idx="55">
                  <c:v>0.40000000000000047</c:v>
                </c:pt>
                <c:pt idx="56">
                  <c:v>0.42000000000000048</c:v>
                </c:pt>
                <c:pt idx="57">
                  <c:v>0.4400000000000005</c:v>
                </c:pt>
                <c:pt idx="58">
                  <c:v>0.46000000000000052</c:v>
                </c:pt>
                <c:pt idx="59">
                  <c:v>0.48000000000000054</c:v>
                </c:pt>
                <c:pt idx="60">
                  <c:v>0.50000000000000056</c:v>
                </c:pt>
                <c:pt idx="61">
                  <c:v>0.52000000000000057</c:v>
                </c:pt>
                <c:pt idx="62">
                  <c:v>0.54000000000000059</c:v>
                </c:pt>
                <c:pt idx="63">
                  <c:v>0.56000000000000061</c:v>
                </c:pt>
                <c:pt idx="64">
                  <c:v>0.58000000000000063</c:v>
                </c:pt>
                <c:pt idx="65">
                  <c:v>0.60000000000000064</c:v>
                </c:pt>
                <c:pt idx="66">
                  <c:v>0.62000000000000066</c:v>
                </c:pt>
                <c:pt idx="67">
                  <c:v>0.64000000000000068</c:v>
                </c:pt>
                <c:pt idx="68">
                  <c:v>0.6600000000000007</c:v>
                </c:pt>
                <c:pt idx="69">
                  <c:v>0.68000000000000071</c:v>
                </c:pt>
              </c:numCache>
            </c:numRef>
          </c:xVal>
          <c:yVal>
            <c:numRef>
              <c:f>Hoja1!$J$5:$J$75</c:f>
              <c:numCache>
                <c:formatCode>General</c:formatCode>
                <c:ptCount val="71"/>
                <c:pt idx="0">
                  <c:v>2.6408660606880507E-5</c:v>
                </c:pt>
                <c:pt idx="1">
                  <c:v>4.9640305804199935E-5</c:v>
                </c:pt>
                <c:pt idx="2">
                  <c:v>9.1664617489622472E-5</c:v>
                </c:pt>
                <c:pt idx="3">
                  <c:v>1.662831419336908E-4</c:v>
                </c:pt>
                <c:pt idx="4">
                  <c:v>2.9632884112517206E-4</c:v>
                </c:pt>
                <c:pt idx="5">
                  <c:v>5.1877475320245229E-4</c:v>
                </c:pt>
                <c:pt idx="6">
                  <c:v>8.9220150509923893E-4</c:v>
                </c:pt>
                <c:pt idx="7">
                  <c:v>1.5073922560245687E-3</c:v>
                </c:pt>
                <c:pt idx="8">
                  <c:v>2.5018934914508755E-3</c:v>
                </c:pt>
                <c:pt idx="9">
                  <c:v>4.0793462007585012E-3</c:v>
                </c:pt>
                <c:pt idx="10">
                  <c:v>6.5341864085025087E-3</c:v>
                </c:pt>
                <c:pt idx="11">
                  <c:v>1.0281859975274081E-2</c:v>
                </c:pt>
                <c:pt idx="12">
                  <c:v>1.5893921343099037E-2</c:v>
                </c:pt>
                <c:pt idx="13">
                  <c:v>2.4136241520128703E-2</c:v>
                </c:pt>
                <c:pt idx="14">
                  <c:v>3.6007041207962664E-2</c:v>
                </c:pt>
                <c:pt idx="15">
                  <c:v>5.2769677219866723E-2</c:v>
                </c:pt>
                <c:pt idx="16">
                  <c:v>7.5973240158649993E-2</c:v>
                </c:pt>
                <c:pt idx="17">
                  <c:v>0.10745238742432708</c:v>
                </c:pt>
                <c:pt idx="18">
                  <c:v>0.14929686863228681</c:v>
                </c:pt>
                <c:pt idx="19">
                  <c:v>0.20378139818590427</c:v>
                </c:pt>
                <c:pt idx="20">
                  <c:v>0.27324837363481597</c:v>
                </c:pt>
                <c:pt idx="21">
                  <c:v>0.35993977675458899</c:v>
                </c:pt>
                <c:pt idx="22">
                  <c:v>0.46578050713943692</c:v>
                </c:pt>
                <c:pt idx="23">
                  <c:v>0.59212307393728203</c:v>
                </c:pt>
                <c:pt idx="24">
                  <c:v>0.73947223119637373</c:v>
                </c:pt>
                <c:pt idx="25">
                  <c:v>0.9072165494151907</c:v>
                </c:pt>
                <c:pt idx="26">
                  <c:v>1.0934004978399616</c:v>
                </c:pt>
                <c:pt idx="27">
                  <c:v>1.2945736998880903</c:v>
                </c:pt>
                <c:pt idx="28">
                  <c:v>1.5057521831141671</c:v>
                </c:pt>
                <c:pt idx="29">
                  <c:v>1.7205188393549216</c:v>
                </c:pt>
                <c:pt idx="30">
                  <c:v>1.9312770184098891</c:v>
                </c:pt>
                <c:pt idx="31">
                  <c:v>2.1296533701490183</c:v>
                </c:pt>
                <c:pt idx="32">
                  <c:v>2.3070259545128224</c:v>
                </c:pt>
                <c:pt idx="33">
                  <c:v>2.4551342686888251</c:v>
                </c:pt>
                <c:pt idx="34">
                  <c:v>2.5667124973067619</c:v>
                </c:pt>
                <c:pt idx="35">
                  <c:v>2.6360789392387858</c:v>
                </c:pt>
                <c:pt idx="36">
                  <c:v>2.6596152026762181</c:v>
                </c:pt>
                <c:pt idx="37">
                  <c:v>2.636078939238784</c:v>
                </c:pt>
                <c:pt idx="38">
                  <c:v>2.5667124973067583</c:v>
                </c:pt>
                <c:pt idx="39">
                  <c:v>2.4551342686888198</c:v>
                </c:pt>
                <c:pt idx="40">
                  <c:v>2.3070259545128162</c:v>
                </c:pt>
                <c:pt idx="41">
                  <c:v>2.1296533701490112</c:v>
                </c:pt>
                <c:pt idx="42">
                  <c:v>1.9312770184098811</c:v>
                </c:pt>
                <c:pt idx="43">
                  <c:v>1.7205188393549136</c:v>
                </c:pt>
                <c:pt idx="44">
                  <c:v>1.5057521831141591</c:v>
                </c:pt>
                <c:pt idx="45">
                  <c:v>1.2945736998880824</c:v>
                </c:pt>
                <c:pt idx="46">
                  <c:v>1.0934004978399536</c:v>
                </c:pt>
                <c:pt idx="47">
                  <c:v>0.9072165494151837</c:v>
                </c:pt>
                <c:pt idx="48">
                  <c:v>0.73947223119636762</c:v>
                </c:pt>
                <c:pt idx="49">
                  <c:v>0.59212307393727681</c:v>
                </c:pt>
                <c:pt idx="50">
                  <c:v>0.46578050713943248</c:v>
                </c:pt>
                <c:pt idx="51">
                  <c:v>0.35993977675458516</c:v>
                </c:pt>
                <c:pt idx="52">
                  <c:v>0.27324837363481308</c:v>
                </c:pt>
                <c:pt idx="53">
                  <c:v>0.20378139818590177</c:v>
                </c:pt>
                <c:pt idx="54">
                  <c:v>0.14929686863228486</c:v>
                </c:pt>
                <c:pt idx="55">
                  <c:v>0.10745238742432575</c:v>
                </c:pt>
                <c:pt idx="56">
                  <c:v>7.5973240158648911E-2</c:v>
                </c:pt>
                <c:pt idx="57">
                  <c:v>5.2769677219865946E-2</c:v>
                </c:pt>
                <c:pt idx="58">
                  <c:v>3.6007041207962151E-2</c:v>
                </c:pt>
                <c:pt idx="59">
                  <c:v>2.4136241520128322E-2</c:v>
                </c:pt>
                <c:pt idx="60">
                  <c:v>1.5893921343098767E-2</c:v>
                </c:pt>
                <c:pt idx="61">
                  <c:v>1.0281859975273916E-2</c:v>
                </c:pt>
                <c:pt idx="62">
                  <c:v>6.5341864085023925E-3</c:v>
                </c:pt>
                <c:pt idx="63">
                  <c:v>4.0793462007584214E-3</c:v>
                </c:pt>
                <c:pt idx="64">
                  <c:v>2.5018934914508291E-3</c:v>
                </c:pt>
                <c:pt idx="65">
                  <c:v>1.5073922560245379E-3</c:v>
                </c:pt>
                <c:pt idx="66">
                  <c:v>8.9220150509921985E-4</c:v>
                </c:pt>
                <c:pt idx="67">
                  <c:v>5.1877475320244025E-4</c:v>
                </c:pt>
                <c:pt idx="68">
                  <c:v>2.9632884112516626E-4</c:v>
                </c:pt>
                <c:pt idx="69">
                  <c:v>1.6628314193368698E-4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20E-4276-8674-9E160832A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327423"/>
        <c:axId val="1626327839"/>
      </c:scatterChart>
      <c:scatterChart>
        <c:scatterStyle val="lineMarker"/>
        <c:varyColors val="0"/>
        <c:ser>
          <c:idx val="2"/>
          <c:order val="2"/>
          <c:tx>
            <c:v>LSL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Hoja1!$M$4:$M$5</c:f>
              <c:numCache>
                <c:formatCode>General</c:formatCode>
                <c:ptCount val="2"/>
                <c:pt idx="0">
                  <c:v>-0.5</c:v>
                </c:pt>
                <c:pt idx="1">
                  <c:v>-0.5</c:v>
                </c:pt>
              </c:numCache>
            </c:numRef>
          </c:xVal>
          <c:yVal>
            <c:numRef>
              <c:f>Hoja1!$N$4:$N$5</c:f>
              <c:numCache>
                <c:formatCode>General</c:formatCode>
                <c:ptCount val="2"/>
                <c:pt idx="0">
                  <c:v>0</c:v>
                </c:pt>
                <c:pt idx="1">
                  <c:v>5.6707428813061433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20E-4276-8674-9E160832ADBE}"/>
            </c:ext>
          </c:extLst>
        </c:ser>
        <c:ser>
          <c:idx val="3"/>
          <c:order val="3"/>
          <c:tx>
            <c:v>USL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Hoja1!$M$7:$M$8</c:f>
              <c:numCache>
                <c:formatCode>General</c:formatCode>
                <c:ptCount val="2"/>
                <c:pt idx="0">
                  <c:v>0.5</c:v>
                </c:pt>
                <c:pt idx="1">
                  <c:v>0.5</c:v>
                </c:pt>
              </c:numCache>
            </c:numRef>
          </c:xVal>
          <c:yVal>
            <c:numRef>
              <c:f>Hoja1!$N$7:$N$8</c:f>
              <c:numCache>
                <c:formatCode>General</c:formatCode>
                <c:ptCount val="2"/>
                <c:pt idx="0">
                  <c:v>0</c:v>
                </c:pt>
                <c:pt idx="1">
                  <c:v>5.6707428813061433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20E-4276-8674-9E160832AD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6327423"/>
        <c:axId val="1626327839"/>
      </c:scatterChart>
      <c:valAx>
        <c:axId val="1626327423"/>
        <c:scaling>
          <c:orientation val="minMax"/>
          <c:max val="0.7"/>
          <c:min val="-0.7"/>
        </c:scaling>
        <c:delete val="0"/>
        <c:axPos val="b"/>
        <c:numFmt formatCode="General" sourceLinked="1"/>
        <c:majorTickMark val="out"/>
        <c:minorTickMark val="none"/>
        <c:tickLblPos val="nextTo"/>
        <c:crossAx val="1626327839"/>
        <c:crosses val="autoZero"/>
        <c:crossBetween val="midCat"/>
      </c:valAx>
      <c:valAx>
        <c:axId val="1626327839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one"/>
        <c:crossAx val="16263274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9</xdr:col>
      <xdr:colOff>487680</xdr:colOff>
      <xdr:row>37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6CA71DE-E969-45D4-8D05-A56D9C8E92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6338-77F6-4C00-93BD-5B13FA7F99B6}">
  <sheetPr codeName="Hoja1"/>
  <dimension ref="A1:N74"/>
  <sheetViews>
    <sheetView tabSelected="1" topLeftCell="A10" workbookViewId="0"/>
  </sheetViews>
  <sheetFormatPr baseColWidth="10" defaultRowHeight="14.4" x14ac:dyDescent="0.3"/>
  <cols>
    <col min="1" max="1" width="73.5546875" bestFit="1" customWidth="1"/>
    <col min="2" max="2" width="6" bestFit="1" customWidth="1"/>
    <col min="4" max="4" width="21.21875" bestFit="1" customWidth="1"/>
    <col min="5" max="5" width="6.5546875" bestFit="1" customWidth="1"/>
    <col min="8" max="8" width="12.33203125" bestFit="1" customWidth="1"/>
    <col min="9" max="9" width="13" bestFit="1" customWidth="1"/>
    <col min="10" max="10" width="12.88671875" bestFit="1" customWidth="1"/>
    <col min="12" max="12" width="4.109375" bestFit="1" customWidth="1"/>
    <col min="13" max="13" width="4.6640625" bestFit="1" customWidth="1"/>
    <col min="14" max="14" width="12" bestFit="1" customWidth="1"/>
  </cols>
  <sheetData>
    <row r="1" spans="1:14" ht="18" x14ac:dyDescent="0.35">
      <c r="A1" s="2" t="s">
        <v>0</v>
      </c>
    </row>
    <row r="3" spans="1:14" x14ac:dyDescent="0.3">
      <c r="A3" s="5" t="s">
        <v>1</v>
      </c>
      <c r="B3" s="6"/>
      <c r="D3" s="8" t="s">
        <v>8</v>
      </c>
      <c r="E3" s="9"/>
      <c r="H3" s="4" t="s">
        <v>22</v>
      </c>
      <c r="I3" s="3"/>
      <c r="J3" s="3"/>
    </row>
    <row r="4" spans="1:14" x14ac:dyDescent="0.3">
      <c r="A4" t="s">
        <v>2</v>
      </c>
      <c r="B4" s="7">
        <v>0.02</v>
      </c>
      <c r="D4" t="s">
        <v>9</v>
      </c>
      <c r="E4" s="10">
        <f>B5/B6</f>
        <v>7.7386070507308682E-2</v>
      </c>
      <c r="H4" t="s">
        <v>23</v>
      </c>
      <c r="I4" t="s">
        <v>24</v>
      </c>
      <c r="J4" t="s">
        <v>25</v>
      </c>
      <c r="L4" t="s">
        <v>26</v>
      </c>
      <c r="M4">
        <f>B8</f>
        <v>-0.5</v>
      </c>
      <c r="N4">
        <v>0</v>
      </c>
    </row>
    <row r="5" spans="1:14" x14ac:dyDescent="0.3">
      <c r="A5" t="s">
        <v>3</v>
      </c>
      <c r="B5" s="7">
        <v>0.18</v>
      </c>
      <c r="D5" t="s">
        <v>10</v>
      </c>
      <c r="E5" s="10">
        <f>B7</f>
        <v>0.15</v>
      </c>
      <c r="H5">
        <v>-0.7</v>
      </c>
      <c r="I5">
        <f>_xlfn.NORM.DIST(H5, $B$4, $E$4, FALSE)</f>
        <v>8.2228652251627953E-19</v>
      </c>
      <c r="J5">
        <f>_xlfn.NORM.DIST(H5, $B$4, $E$5, FALSE)</f>
        <v>2.6408660606880507E-5</v>
      </c>
      <c r="L5" t="s">
        <v>26</v>
      </c>
      <c r="M5">
        <f>B8</f>
        <v>-0.5</v>
      </c>
      <c r="N5">
        <f>MAX(I5:J75)*1.1</f>
        <v>5.6707428813061433</v>
      </c>
    </row>
    <row r="6" spans="1:14" x14ac:dyDescent="0.3">
      <c r="A6" t="s">
        <v>4</v>
      </c>
      <c r="B6" s="7">
        <v>2.3260000000000001</v>
      </c>
      <c r="H6">
        <v>-0.67999999999999994</v>
      </c>
      <c r="I6">
        <f>_xlfn.NORM.DIST(H6, $B$4, $E$4, FALSE)</f>
        <v>8.8066222647056809E-18</v>
      </c>
      <c r="J6">
        <f>_xlfn.NORM.DIST(H6, $B$4, $E$5, FALSE)</f>
        <v>4.9640305804199935E-5</v>
      </c>
    </row>
    <row r="7" spans="1:14" x14ac:dyDescent="0.3">
      <c r="A7" t="s">
        <v>5</v>
      </c>
      <c r="B7" s="7">
        <v>0.15</v>
      </c>
      <c r="H7">
        <v>-0.65999999999999992</v>
      </c>
      <c r="I7">
        <f>_xlfn.NORM.DIST(H7, $B$4, $E$4, FALSE)</f>
        <v>8.8224154262356799E-17</v>
      </c>
      <c r="J7">
        <f>_xlfn.NORM.DIST(H7, $B$4, $E$5, FALSE)</f>
        <v>9.1664617489622472E-5</v>
      </c>
      <c r="L7" t="s">
        <v>27</v>
      </c>
      <c r="M7">
        <f>B9</f>
        <v>0.5</v>
      </c>
      <c r="N7">
        <v>0</v>
      </c>
    </row>
    <row r="8" spans="1:14" x14ac:dyDescent="0.3">
      <c r="A8" t="s">
        <v>6</v>
      </c>
      <c r="B8" s="7">
        <v>-0.5</v>
      </c>
      <c r="H8">
        <v>-0.6399999999999999</v>
      </c>
      <c r="I8">
        <f>_xlfn.NORM.DIST(H8, $B$4, $E$4, FALSE)</f>
        <v>8.2671834886168767E-16</v>
      </c>
      <c r="J8">
        <f>_xlfn.NORM.DIST(H8, $B$4, $E$5, FALSE)</f>
        <v>1.662831419336908E-4</v>
      </c>
      <c r="L8" t="s">
        <v>27</v>
      </c>
      <c r="M8">
        <f>B9</f>
        <v>0.5</v>
      </c>
      <c r="N8">
        <f>MAX(I5:J75)*1.1</f>
        <v>5.6707428813061433</v>
      </c>
    </row>
    <row r="9" spans="1:14" x14ac:dyDescent="0.3">
      <c r="A9" t="s">
        <v>7</v>
      </c>
      <c r="B9" s="7">
        <v>0.5</v>
      </c>
      <c r="H9">
        <v>-0.61999999999999988</v>
      </c>
      <c r="I9">
        <f>_xlfn.NORM.DIST(H9, $B$4, $E$4, FALSE)</f>
        <v>7.2463546927899019E-15</v>
      </c>
      <c r="J9">
        <f>_xlfn.NORM.DIST(H9, $B$4, $E$5, FALSE)</f>
        <v>2.9632884112517206E-4</v>
      </c>
    </row>
    <row r="10" spans="1:14" x14ac:dyDescent="0.3">
      <c r="H10">
        <v>-0.59999999999999987</v>
      </c>
      <c r="I10">
        <f>_xlfn.NORM.DIST(H10, $B$4, $E$4, FALSE)</f>
        <v>5.941191310883852E-14</v>
      </c>
      <c r="J10">
        <f>_xlfn.NORM.DIST(H10, $B$4, $E$5, FALSE)</f>
        <v>5.1877475320245229E-4</v>
      </c>
    </row>
    <row r="11" spans="1:14" x14ac:dyDescent="0.3">
      <c r="A11" s="5" t="s">
        <v>11</v>
      </c>
      <c r="B11" s="6"/>
      <c r="C11" s="6"/>
      <c r="D11" s="6"/>
      <c r="E11" s="6"/>
      <c r="H11">
        <v>-0.57999999999999985</v>
      </c>
      <c r="I11">
        <f>_xlfn.NORM.DIST(H11, $B$4, $E$4, FALSE)</f>
        <v>4.5563746253597853E-13</v>
      </c>
      <c r="J11">
        <f>_xlfn.NORM.DIST(H11, $B$4, $E$5, FALSE)</f>
        <v>8.9220150509923893E-4</v>
      </c>
    </row>
    <row r="12" spans="1:14" x14ac:dyDescent="0.3">
      <c r="A12" s="1" t="s">
        <v>12</v>
      </c>
      <c r="D12" s="1" t="s">
        <v>17</v>
      </c>
      <c r="H12">
        <v>-0.55999999999999983</v>
      </c>
      <c r="I12">
        <f>_xlfn.NORM.DIST(H12, $B$4, $E$4, FALSE)</f>
        <v>3.2685659343066617E-12</v>
      </c>
      <c r="J12">
        <f>_xlfn.NORM.DIST(H12, $B$4, $E$5, FALSE)</f>
        <v>1.5073922560245687E-3</v>
      </c>
    </row>
    <row r="13" spans="1:14" x14ac:dyDescent="0.3">
      <c r="A13" t="s">
        <v>13</v>
      </c>
      <c r="B13" s="11">
        <f>(B9-B8)/(6*E4)</f>
        <v>2.1537037037037035</v>
      </c>
      <c r="D13" t="s">
        <v>18</v>
      </c>
      <c r="E13" s="12">
        <f>(B9-B8)/(6*E5)</f>
        <v>1.1111111111111112</v>
      </c>
      <c r="H13">
        <v>-0.53999999999999981</v>
      </c>
      <c r="I13">
        <f>_xlfn.NORM.DIST(H13, $B$4, $E$4, FALSE)</f>
        <v>2.1932443219604414E-11</v>
      </c>
      <c r="J13">
        <f>_xlfn.NORM.DIST(H13, $B$4, $E$5, FALSE)</f>
        <v>2.5018934914508755E-3</v>
      </c>
    </row>
    <row r="14" spans="1:14" x14ac:dyDescent="0.3">
      <c r="A14" t="s">
        <v>14</v>
      </c>
      <c r="B14" s="11">
        <f>(B4-B8)/(3*E4)</f>
        <v>2.239851851851852</v>
      </c>
      <c r="D14" t="s">
        <v>19</v>
      </c>
      <c r="E14" s="12">
        <f>(B4-B8)/(3*E5)</f>
        <v>1.1555555555555557</v>
      </c>
      <c r="H14">
        <v>-0.5199999999999998</v>
      </c>
      <c r="I14">
        <f>_xlfn.NORM.DIST(H14, $B$4, $E$4, FALSE)</f>
        <v>1.3766030119243497E-10</v>
      </c>
      <c r="J14">
        <f>_xlfn.NORM.DIST(H14, $B$4, $E$5, FALSE)</f>
        <v>4.0793462007585012E-3</v>
      </c>
    </row>
    <row r="15" spans="1:14" x14ac:dyDescent="0.3">
      <c r="A15" t="s">
        <v>15</v>
      </c>
      <c r="B15" s="11">
        <f>(B9-B4)/(3*E4)</f>
        <v>2.0675555555555554</v>
      </c>
      <c r="D15" t="s">
        <v>20</v>
      </c>
      <c r="E15" s="12">
        <f>(B9-B4)/(3*E5)</f>
        <v>1.0666666666666667</v>
      </c>
      <c r="H15">
        <v>-0.49999999999999978</v>
      </c>
      <c r="I15">
        <f>_xlfn.NORM.DIST(H15, $B$4, $E$4, FALSE)</f>
        <v>8.0820653041909126E-10</v>
      </c>
      <c r="J15">
        <f>_xlfn.NORM.DIST(H15, $B$4, $E$5, FALSE)</f>
        <v>6.5341864085025087E-3</v>
      </c>
    </row>
    <row r="16" spans="1:14" x14ac:dyDescent="0.3">
      <c r="A16" t="s">
        <v>16</v>
      </c>
      <c r="B16" s="13">
        <f>MIN(B14,B15)</f>
        <v>2.0675555555555554</v>
      </c>
      <c r="D16" t="s">
        <v>21</v>
      </c>
      <c r="E16" s="14">
        <f>MIN(E14,E15)</f>
        <v>1.0666666666666667</v>
      </c>
      <c r="H16">
        <v>-0.47999999999999976</v>
      </c>
      <c r="I16">
        <f>_xlfn.NORM.DIST(H16, $B$4, $E$4, FALSE)</f>
        <v>4.4384152669241168E-9</v>
      </c>
      <c r="J16">
        <f>_xlfn.NORM.DIST(H16, $B$4, $E$5, FALSE)</f>
        <v>1.0281859975274081E-2</v>
      </c>
    </row>
    <row r="17" spans="8:10" x14ac:dyDescent="0.3">
      <c r="H17">
        <v>-0.45999999999999974</v>
      </c>
      <c r="I17">
        <f>_xlfn.NORM.DIST(H17, $B$4, $E$4, FALSE)</f>
        <v>2.2799506637981808E-8</v>
      </c>
      <c r="J17">
        <f>_xlfn.NORM.DIST(H17, $B$4, $E$5, FALSE)</f>
        <v>1.5893921343099037E-2</v>
      </c>
    </row>
    <row r="18" spans="8:10" x14ac:dyDescent="0.3">
      <c r="H18">
        <v>-0.43999999999999972</v>
      </c>
      <c r="I18">
        <f>_xlfn.NORM.DIST(H18, $B$4, $E$4, FALSE)</f>
        <v>1.0955063608293538E-7</v>
      </c>
      <c r="J18">
        <f>_xlfn.NORM.DIST(H18, $B$4, $E$5, FALSE)</f>
        <v>2.4136241520128703E-2</v>
      </c>
    </row>
    <row r="19" spans="8:10" x14ac:dyDescent="0.3">
      <c r="H19">
        <v>-0.41999999999999971</v>
      </c>
      <c r="I19">
        <f>_xlfn.NORM.DIST(H19, $B$4, $E$4, FALSE)</f>
        <v>4.9237534244854784E-7</v>
      </c>
      <c r="J19">
        <f>_xlfn.NORM.DIST(H19, $B$4, $E$5, FALSE)</f>
        <v>3.6007041207962664E-2</v>
      </c>
    </row>
    <row r="20" spans="8:10" x14ac:dyDescent="0.3">
      <c r="H20">
        <v>-0.39999999999999969</v>
      </c>
      <c r="I20">
        <f>_xlfn.NORM.DIST(H20, $B$4, $E$4, FALSE)</f>
        <v>2.0699965723212749E-6</v>
      </c>
      <c r="J20">
        <f>_xlfn.NORM.DIST(H20, $B$4, $E$5, FALSE)</f>
        <v>5.2769677219866723E-2</v>
      </c>
    </row>
    <row r="21" spans="8:10" x14ac:dyDescent="0.3">
      <c r="H21">
        <v>-0.37999999999999967</v>
      </c>
      <c r="I21">
        <f>_xlfn.NORM.DIST(H21, $B$4, $E$4, FALSE)</f>
        <v>8.1401966167002311E-6</v>
      </c>
      <c r="J21">
        <f>_xlfn.NORM.DIST(H21, $B$4, $E$5, FALSE)</f>
        <v>7.5973240158649993E-2</v>
      </c>
    </row>
    <row r="22" spans="8:10" x14ac:dyDescent="0.3">
      <c r="H22">
        <v>-0.35999999999999965</v>
      </c>
      <c r="I22">
        <f>_xlfn.NORM.DIST(H22, $B$4, $E$4, FALSE)</f>
        <v>2.9942778769590995E-5</v>
      </c>
      <c r="J22">
        <f>_xlfn.NORM.DIST(H22, $B$4, $E$5, FALSE)</f>
        <v>0.10745238742432708</v>
      </c>
    </row>
    <row r="23" spans="8:10" x14ac:dyDescent="0.3">
      <c r="H23">
        <v>-0.33999999999999964</v>
      </c>
      <c r="I23">
        <f>_xlfn.NORM.DIST(H23, $B$4, $E$4, FALSE)</f>
        <v>1.0302467338274425E-4</v>
      </c>
      <c r="J23">
        <f>_xlfn.NORM.DIST(H23, $B$4, $E$5, FALSE)</f>
        <v>0.14929686863228681</v>
      </c>
    </row>
    <row r="24" spans="8:10" x14ac:dyDescent="0.3">
      <c r="H24">
        <v>-0.31999999999999962</v>
      </c>
      <c r="I24">
        <f>_xlfn.NORM.DIST(H24, $B$4, $E$4, FALSE)</f>
        <v>3.315754206665055E-4</v>
      </c>
      <c r="J24">
        <f>_xlfn.NORM.DIST(H24, $B$4, $E$5, FALSE)</f>
        <v>0.20378139818590427</v>
      </c>
    </row>
    <row r="25" spans="8:10" x14ac:dyDescent="0.3">
      <c r="H25">
        <v>-0.2999999999999996</v>
      </c>
      <c r="I25">
        <f>_xlfn.NORM.DIST(H25, $B$4, $E$4, FALSE)</f>
        <v>9.9819490848948242E-4</v>
      </c>
      <c r="J25">
        <f>_xlfn.NORM.DIST(H25, $B$4, $E$5, FALSE)</f>
        <v>0.27324837363481597</v>
      </c>
    </row>
    <row r="26" spans="8:10" x14ac:dyDescent="0.3">
      <c r="H26">
        <v>-0.27999999999999958</v>
      </c>
      <c r="I26">
        <f>_xlfn.NORM.DIST(H26, $B$4, $E$4, FALSE)</f>
        <v>2.8108670816885824E-3</v>
      </c>
      <c r="J26">
        <f>_xlfn.NORM.DIST(H26, $B$4, $E$5, FALSE)</f>
        <v>0.35993977675458899</v>
      </c>
    </row>
    <row r="27" spans="8:10" x14ac:dyDescent="0.3">
      <c r="H27">
        <v>-0.25999999999999956</v>
      </c>
      <c r="I27">
        <f>_xlfn.NORM.DIST(H27, $B$4, $E$4, FALSE)</f>
        <v>7.4038431002649476E-3</v>
      </c>
      <c r="J27">
        <f>_xlfn.NORM.DIST(H27, $B$4, $E$5, FALSE)</f>
        <v>0.46578050713943692</v>
      </c>
    </row>
    <row r="28" spans="8:10" x14ac:dyDescent="0.3">
      <c r="H28">
        <v>-0.23999999999999957</v>
      </c>
      <c r="I28">
        <f>_xlfn.NORM.DIST(H28, $B$4, $E$4, FALSE)</f>
        <v>1.8241730789892861E-2</v>
      </c>
      <c r="J28">
        <f>_xlfn.NORM.DIST(H28, $B$4, $E$5, FALSE)</f>
        <v>0.59212307393728203</v>
      </c>
    </row>
    <row r="29" spans="8:10" x14ac:dyDescent="0.3">
      <c r="H29">
        <v>-0.21999999999999958</v>
      </c>
      <c r="I29">
        <f>_xlfn.NORM.DIST(H29, $B$4, $E$4, FALSE)</f>
        <v>4.2040397689136547E-2</v>
      </c>
      <c r="J29">
        <f>_xlfn.NORM.DIST(H29, $B$4, $E$5, FALSE)</f>
        <v>0.73947223119637373</v>
      </c>
    </row>
    <row r="30" spans="8:10" x14ac:dyDescent="0.3">
      <c r="H30">
        <v>-0.19999999999999959</v>
      </c>
      <c r="I30">
        <f>_xlfn.NORM.DIST(H30, $B$4, $E$4, FALSE)</f>
        <v>9.0627401368394964E-2</v>
      </c>
      <c r="J30">
        <f>_xlfn.NORM.DIST(H30, $B$4, $E$5, FALSE)</f>
        <v>0.9072165494151907</v>
      </c>
    </row>
    <row r="31" spans="8:10" x14ac:dyDescent="0.3">
      <c r="H31">
        <v>-0.1799999999999996</v>
      </c>
      <c r="I31">
        <f>_xlfn.NORM.DIST(H31, $B$4, $E$4, FALSE)</f>
        <v>0.18274444194906836</v>
      </c>
      <c r="J31">
        <f>_xlfn.NORM.DIST(H31, $B$4, $E$5, FALSE)</f>
        <v>1.0934004978399616</v>
      </c>
    </row>
    <row r="32" spans="8:10" x14ac:dyDescent="0.3">
      <c r="H32">
        <v>-0.15999999999999961</v>
      </c>
      <c r="I32">
        <f>_xlfn.NORM.DIST(H32, $B$4, $E$4, FALSE)</f>
        <v>0.34468371484122523</v>
      </c>
      <c r="J32">
        <f>_xlfn.NORM.DIST(H32, $B$4, $E$5, FALSE)</f>
        <v>1.2945736998880903</v>
      </c>
    </row>
    <row r="33" spans="8:10" x14ac:dyDescent="0.3">
      <c r="H33">
        <v>-0.13999999999999962</v>
      </c>
      <c r="I33">
        <f>_xlfn.NORM.DIST(H33, $B$4, $E$4, FALSE)</f>
        <v>0.60812000571567004</v>
      </c>
      <c r="J33">
        <f>_xlfn.NORM.DIST(H33, $B$4, $E$5, FALSE)</f>
        <v>1.5057521831141671</v>
      </c>
    </row>
    <row r="34" spans="8:10" x14ac:dyDescent="0.3">
      <c r="H34">
        <v>-0.11999999999999962</v>
      </c>
      <c r="I34">
        <f>_xlfn.NORM.DIST(H34, $B$4, $E$4, FALSE)</f>
        <v>1.0035748172830012</v>
      </c>
      <c r="J34">
        <f>_xlfn.NORM.DIST(H34, $B$4, $E$5, FALSE)</f>
        <v>1.7205188393549216</v>
      </c>
    </row>
    <row r="35" spans="8:10" x14ac:dyDescent="0.3">
      <c r="H35">
        <v>-9.9999999999999617E-2</v>
      </c>
      <c r="I35">
        <f>_xlfn.NORM.DIST(H35, $B$4, $E$4, FALSE)</f>
        <v>1.5491809833299655</v>
      </c>
      <c r="J35">
        <f>_xlfn.NORM.DIST(H35, $B$4, $E$5, FALSE)</f>
        <v>1.9312770184098891</v>
      </c>
    </row>
    <row r="36" spans="8:10" x14ac:dyDescent="0.3">
      <c r="H36">
        <v>-7.9999999999999613E-2</v>
      </c>
      <c r="I36">
        <f>_xlfn.NORM.DIST(H36, $B$4, $E$4, FALSE)</f>
        <v>2.2368996295679016</v>
      </c>
      <c r="J36">
        <f>_xlfn.NORM.DIST(H36, $B$4, $E$5, FALSE)</f>
        <v>2.1296533701490183</v>
      </c>
    </row>
    <row r="37" spans="8:10" x14ac:dyDescent="0.3">
      <c r="H37">
        <v>-5.9999999999999609E-2</v>
      </c>
      <c r="I37">
        <f>_xlfn.NORM.DIST(H37, $B$4, $E$4, FALSE)</f>
        <v>3.0212229570168034</v>
      </c>
      <c r="J37">
        <f>_xlfn.NORM.DIST(H37, $B$4, $E$5, FALSE)</f>
        <v>2.3070259545128224</v>
      </c>
    </row>
    <row r="38" spans="8:10" x14ac:dyDescent="0.3">
      <c r="H38">
        <v>-3.9999999999999605E-2</v>
      </c>
      <c r="I38">
        <f>_xlfn.NORM.DIST(H38, $B$4, $E$4, FALSE)</f>
        <v>3.8169018521901621</v>
      </c>
      <c r="J38">
        <f>_xlfn.NORM.DIST(H38, $B$4, $E$5, FALSE)</f>
        <v>2.4551342686888251</v>
      </c>
    </row>
    <row r="39" spans="8:10" x14ac:dyDescent="0.3">
      <c r="H39">
        <v>-1.9999999999999605E-2</v>
      </c>
      <c r="I39">
        <f>_xlfn.NORM.DIST(H39, $B$4, $E$4, FALSE)</f>
        <v>4.5105670948214991</v>
      </c>
      <c r="J39">
        <f>_xlfn.NORM.DIST(H39, $B$4, $E$5, FALSE)</f>
        <v>2.5667124973067619</v>
      </c>
    </row>
    <row r="40" spans="8:10" x14ac:dyDescent="0.3">
      <c r="H40">
        <v>3.9551695252271202E-16</v>
      </c>
      <c r="I40">
        <f>_xlfn.NORM.DIST(H40, $B$4, $E$4, FALSE)</f>
        <v>4.9858962845517372</v>
      </c>
      <c r="J40">
        <f>_xlfn.NORM.DIST(H40, $B$4, $E$5, FALSE)</f>
        <v>2.6360789392387858</v>
      </c>
    </row>
    <row r="41" spans="8:10" x14ac:dyDescent="0.3">
      <c r="H41">
        <v>2.0000000000000396E-2</v>
      </c>
      <c r="I41">
        <f>_xlfn.NORM.DIST(H41, $B$4, $E$4, FALSE)</f>
        <v>5.1552208011874026</v>
      </c>
      <c r="J41">
        <f>_xlfn.NORM.DIST(H41, $B$4, $E$5, FALSE)</f>
        <v>2.6596152026762181</v>
      </c>
    </row>
    <row r="42" spans="8:10" x14ac:dyDescent="0.3">
      <c r="H42">
        <v>4.0000000000000396E-2</v>
      </c>
      <c r="I42">
        <f>_xlfn.NORM.DIST(H42, $B$4, $E$4, FALSE)</f>
        <v>4.985896284551723</v>
      </c>
      <c r="J42">
        <f>_xlfn.NORM.DIST(H42, $B$4, $E$5, FALSE)</f>
        <v>2.636078939238784</v>
      </c>
    </row>
    <row r="43" spans="8:10" x14ac:dyDescent="0.3">
      <c r="H43">
        <v>6.00000000000004E-2</v>
      </c>
      <c r="I43">
        <f>_xlfn.NORM.DIST(H43, $B$4, $E$4, FALSE)</f>
        <v>4.510567094821476</v>
      </c>
      <c r="J43">
        <f>_xlfn.NORM.DIST(H43, $B$4, $E$5, FALSE)</f>
        <v>2.5667124973067583</v>
      </c>
    </row>
    <row r="44" spans="8:10" x14ac:dyDescent="0.3">
      <c r="H44">
        <v>8.0000000000000404E-2</v>
      </c>
      <c r="I44">
        <f>_xlfn.NORM.DIST(H44, $B$4, $E$4, FALSE)</f>
        <v>3.8169018521901315</v>
      </c>
      <c r="J44">
        <f>_xlfn.NORM.DIST(H44, $B$4, $E$5, FALSE)</f>
        <v>2.4551342686888198</v>
      </c>
    </row>
    <row r="45" spans="8:10" x14ac:dyDescent="0.3">
      <c r="H45">
        <v>0.10000000000000041</v>
      </c>
      <c r="I45">
        <f>_xlfn.NORM.DIST(H45, $B$4, $E$4, FALSE)</f>
        <v>3.0212229570167715</v>
      </c>
      <c r="J45">
        <f>_xlfn.NORM.DIST(H45, $B$4, $E$5, FALSE)</f>
        <v>2.3070259545128162</v>
      </c>
    </row>
    <row r="46" spans="8:10" x14ac:dyDescent="0.3">
      <c r="H46">
        <v>0.12000000000000041</v>
      </c>
      <c r="I46">
        <f>_xlfn.NORM.DIST(H46, $B$4, $E$4, FALSE)</f>
        <v>2.2368996295678727</v>
      </c>
      <c r="J46">
        <f>_xlfn.NORM.DIST(H46, $B$4, $E$5, FALSE)</f>
        <v>2.1296533701490112</v>
      </c>
    </row>
    <row r="47" spans="8:10" x14ac:dyDescent="0.3">
      <c r="H47">
        <v>0.1400000000000004</v>
      </c>
      <c r="I47">
        <f>_xlfn.NORM.DIST(H47, $B$4, $E$4, FALSE)</f>
        <v>1.5491809833299417</v>
      </c>
      <c r="J47">
        <f>_xlfn.NORM.DIST(H47, $B$4, $E$5, FALSE)</f>
        <v>1.9312770184098811</v>
      </c>
    </row>
    <row r="48" spans="8:10" x14ac:dyDescent="0.3">
      <c r="H48">
        <v>0.16000000000000039</v>
      </c>
      <c r="I48">
        <f>_xlfn.NORM.DIST(H48, $B$4, $E$4, FALSE)</f>
        <v>1.0035748172829824</v>
      </c>
      <c r="J48">
        <f>_xlfn.NORM.DIST(H48, $B$4, $E$5, FALSE)</f>
        <v>1.7205188393549136</v>
      </c>
    </row>
    <row r="49" spans="8:10" x14ac:dyDescent="0.3">
      <c r="H49">
        <v>0.18000000000000038</v>
      </c>
      <c r="I49">
        <f>_xlfn.NORM.DIST(H49, $B$4, $E$4, FALSE)</f>
        <v>0.60812000571565705</v>
      </c>
      <c r="J49">
        <f>_xlfn.NORM.DIST(H49, $B$4, $E$5, FALSE)</f>
        <v>1.5057521831141591</v>
      </c>
    </row>
    <row r="50" spans="8:10" x14ac:dyDescent="0.3">
      <c r="H50">
        <v>0.20000000000000037</v>
      </c>
      <c r="I50">
        <f>_xlfn.NORM.DIST(H50, $B$4, $E$4, FALSE)</f>
        <v>0.34468371484121707</v>
      </c>
      <c r="J50">
        <f>_xlfn.NORM.DIST(H50, $B$4, $E$5, FALSE)</f>
        <v>1.2945736998880824</v>
      </c>
    </row>
    <row r="51" spans="8:10" x14ac:dyDescent="0.3">
      <c r="H51">
        <v>0.22000000000000036</v>
      </c>
      <c r="I51">
        <f>_xlfn.NORM.DIST(H51, $B$4, $E$4, FALSE)</f>
        <v>0.18274444194906375</v>
      </c>
      <c r="J51">
        <f>_xlfn.NORM.DIST(H51, $B$4, $E$5, FALSE)</f>
        <v>1.0934004978399536</v>
      </c>
    </row>
    <row r="52" spans="8:10" x14ac:dyDescent="0.3">
      <c r="H52">
        <v>0.24000000000000035</v>
      </c>
      <c r="I52">
        <f>_xlfn.NORM.DIST(H52, $B$4, $E$4, FALSE)</f>
        <v>9.0627401368392452E-2</v>
      </c>
      <c r="J52">
        <f>_xlfn.NORM.DIST(H52, $B$4, $E$5, FALSE)</f>
        <v>0.9072165494151837</v>
      </c>
    </row>
    <row r="53" spans="8:10" x14ac:dyDescent="0.3">
      <c r="H53">
        <v>0.26000000000000034</v>
      </c>
      <c r="I53">
        <f>_xlfn.NORM.DIST(H53, $B$4, $E$4, FALSE)</f>
        <v>4.2040397689135207E-2</v>
      </c>
      <c r="J53">
        <f>_xlfn.NORM.DIST(H53, $B$4, $E$5, FALSE)</f>
        <v>0.73947223119636762</v>
      </c>
    </row>
    <row r="54" spans="8:10" x14ac:dyDescent="0.3">
      <c r="H54">
        <v>0.28000000000000036</v>
      </c>
      <c r="I54">
        <f>_xlfn.NORM.DIST(H54, $B$4, $E$4, FALSE)</f>
        <v>1.8241730789892233E-2</v>
      </c>
      <c r="J54">
        <f>_xlfn.NORM.DIST(H54, $B$4, $E$5, FALSE)</f>
        <v>0.59212307393727681</v>
      </c>
    </row>
    <row r="55" spans="8:10" x14ac:dyDescent="0.3">
      <c r="H55">
        <v>0.30000000000000038</v>
      </c>
      <c r="I55">
        <f>_xlfn.NORM.DIST(H55, $B$4, $E$4, FALSE)</f>
        <v>7.4038431002646796E-3</v>
      </c>
      <c r="J55">
        <f>_xlfn.NORM.DIST(H55, $B$4, $E$5, FALSE)</f>
        <v>0.46578050713943248</v>
      </c>
    </row>
    <row r="56" spans="8:10" x14ac:dyDescent="0.3">
      <c r="H56">
        <v>0.3200000000000004</v>
      </c>
      <c r="I56">
        <f>_xlfn.NORM.DIST(H56, $B$4, $E$4, FALSE)</f>
        <v>2.8108670816884701E-3</v>
      </c>
      <c r="J56">
        <f>_xlfn.NORM.DIST(H56, $B$4, $E$5, FALSE)</f>
        <v>0.35993977675458516</v>
      </c>
    </row>
    <row r="57" spans="8:10" x14ac:dyDescent="0.3">
      <c r="H57">
        <v>0.34000000000000041</v>
      </c>
      <c r="I57">
        <f>_xlfn.NORM.DIST(H57, $B$4, $E$4, FALSE)</f>
        <v>9.9819490848944144E-4</v>
      </c>
      <c r="J57">
        <f>_xlfn.NORM.DIST(H57, $B$4, $E$5, FALSE)</f>
        <v>0.27324837363481308</v>
      </c>
    </row>
    <row r="58" spans="8:10" x14ac:dyDescent="0.3">
      <c r="H58">
        <v>0.36000000000000043</v>
      </c>
      <c r="I58">
        <f>_xlfn.NORM.DIST(H58, $B$4, $E$4, FALSE)</f>
        <v>3.3157542066649141E-4</v>
      </c>
      <c r="J58">
        <f>_xlfn.NORM.DIST(H58, $B$4, $E$5, FALSE)</f>
        <v>0.20378139818590177</v>
      </c>
    </row>
    <row r="59" spans="8:10" x14ac:dyDescent="0.3">
      <c r="H59">
        <v>0.38000000000000045</v>
      </c>
      <c r="I59">
        <f>_xlfn.NORM.DIST(H59, $B$4, $E$4, FALSE)</f>
        <v>1.0302467338273947E-4</v>
      </c>
      <c r="J59">
        <f>_xlfn.NORM.DIST(H59, $B$4, $E$5, FALSE)</f>
        <v>0.14929686863228486</v>
      </c>
    </row>
    <row r="60" spans="8:10" x14ac:dyDescent="0.3">
      <c r="H60">
        <v>0.40000000000000047</v>
      </c>
      <c r="I60">
        <f>_xlfn.NORM.DIST(H60, $B$4, $E$4, FALSE)</f>
        <v>2.9942778769589555E-5</v>
      </c>
      <c r="J60">
        <f>_xlfn.NORM.DIST(H60, $B$4, $E$5, FALSE)</f>
        <v>0.10745238742432575</v>
      </c>
    </row>
    <row r="61" spans="8:10" x14ac:dyDescent="0.3">
      <c r="H61">
        <v>0.42000000000000048</v>
      </c>
      <c r="I61">
        <f>_xlfn.NORM.DIST(H61, $B$4, $E$4, FALSE)</f>
        <v>8.140196616699828E-6</v>
      </c>
      <c r="J61">
        <f>_xlfn.NORM.DIST(H61, $B$4, $E$5, FALSE)</f>
        <v>7.5973240158648911E-2</v>
      </c>
    </row>
    <row r="62" spans="8:10" x14ac:dyDescent="0.3">
      <c r="H62">
        <v>0.4400000000000005</v>
      </c>
      <c r="I62">
        <f>_xlfn.NORM.DIST(H62, $B$4, $E$4, FALSE)</f>
        <v>2.0699965723211648E-6</v>
      </c>
      <c r="J62">
        <f>_xlfn.NORM.DIST(H62, $B$4, $E$5, FALSE)</f>
        <v>5.2769677219865946E-2</v>
      </c>
    </row>
    <row r="63" spans="8:10" x14ac:dyDescent="0.3">
      <c r="H63">
        <v>0.46000000000000052</v>
      </c>
      <c r="I63">
        <f>_xlfn.NORM.DIST(H63, $B$4, $E$4, FALSE)</f>
        <v>4.9237534244852158E-7</v>
      </c>
      <c r="J63">
        <f>_xlfn.NORM.DIST(H63, $B$4, $E$5, FALSE)</f>
        <v>3.6007041207962151E-2</v>
      </c>
    </row>
    <row r="64" spans="8:10" x14ac:dyDescent="0.3">
      <c r="H64">
        <v>0.48000000000000054</v>
      </c>
      <c r="I64">
        <f>_xlfn.NORM.DIST(H64, $B$4, $E$4, FALSE)</f>
        <v>1.0955063608292915E-7</v>
      </c>
      <c r="J64">
        <f>_xlfn.NORM.DIST(H64, $B$4, $E$5, FALSE)</f>
        <v>2.4136241520128322E-2</v>
      </c>
    </row>
    <row r="65" spans="8:10" x14ac:dyDescent="0.3">
      <c r="H65">
        <v>0.50000000000000056</v>
      </c>
      <c r="I65">
        <f>_xlfn.NORM.DIST(H65, $B$4, $E$4, FALSE)</f>
        <v>2.2799506637980429E-8</v>
      </c>
      <c r="J65">
        <f>_xlfn.NORM.DIST(H65, $B$4, $E$5, FALSE)</f>
        <v>1.5893921343098767E-2</v>
      </c>
    </row>
    <row r="66" spans="8:10" x14ac:dyDescent="0.3">
      <c r="H66">
        <v>0.52000000000000057</v>
      </c>
      <c r="I66">
        <f>_xlfn.NORM.DIST(H66, $B$4, $E$4, FALSE)</f>
        <v>4.4384152669238322E-9</v>
      </c>
      <c r="J66">
        <f>_xlfn.NORM.DIST(H66, $B$4, $E$5, FALSE)</f>
        <v>1.0281859975273916E-2</v>
      </c>
    </row>
    <row r="67" spans="8:10" x14ac:dyDescent="0.3">
      <c r="H67">
        <v>0.54000000000000059</v>
      </c>
      <c r="I67">
        <f>_xlfn.NORM.DIST(H67, $B$4, $E$4, FALSE)</f>
        <v>8.0820653041903956E-10</v>
      </c>
      <c r="J67">
        <f>_xlfn.NORM.DIST(H67, $B$4, $E$5, FALSE)</f>
        <v>6.5341864085023925E-3</v>
      </c>
    </row>
    <row r="68" spans="8:10" x14ac:dyDescent="0.3">
      <c r="H68">
        <v>0.56000000000000061</v>
      </c>
      <c r="I68">
        <f>_xlfn.NORM.DIST(H68, $B$4, $E$4, FALSE)</f>
        <v>1.3766030119242566E-10</v>
      </c>
      <c r="J68">
        <f>_xlfn.NORM.DIST(H68, $B$4, $E$5, FALSE)</f>
        <v>4.0793462007584214E-3</v>
      </c>
    </row>
    <row r="69" spans="8:10" x14ac:dyDescent="0.3">
      <c r="H69">
        <v>0.58000000000000063</v>
      </c>
      <c r="I69">
        <f>_xlfn.NORM.DIST(H69, $B$4, $E$4, FALSE)</f>
        <v>2.1932443219602856E-11</v>
      </c>
      <c r="J69">
        <f>_xlfn.NORM.DIST(H69, $B$4, $E$5, FALSE)</f>
        <v>2.5018934914508291E-3</v>
      </c>
    </row>
    <row r="70" spans="8:10" x14ac:dyDescent="0.3">
      <c r="H70">
        <v>0.60000000000000064</v>
      </c>
      <c r="I70">
        <f>_xlfn.NORM.DIST(H70, $B$4, $E$4, FALSE)</f>
        <v>3.2685659343064291E-12</v>
      </c>
      <c r="J70">
        <f>_xlfn.NORM.DIST(H70, $B$4, $E$5, FALSE)</f>
        <v>1.5073922560245379E-3</v>
      </c>
    </row>
    <row r="71" spans="8:10" x14ac:dyDescent="0.3">
      <c r="H71">
        <v>0.62000000000000066</v>
      </c>
      <c r="I71">
        <f>_xlfn.NORM.DIST(H71, $B$4, $E$4, FALSE)</f>
        <v>4.5563746253594289E-13</v>
      </c>
      <c r="J71">
        <f>_xlfn.NORM.DIST(H71, $B$4, $E$5, FALSE)</f>
        <v>8.9220150509921985E-4</v>
      </c>
    </row>
    <row r="72" spans="8:10" x14ac:dyDescent="0.3">
      <c r="H72">
        <v>0.64000000000000068</v>
      </c>
      <c r="I72">
        <f>_xlfn.NORM.DIST(H72, $B$4, $E$4, FALSE)</f>
        <v>5.9411913108834304E-14</v>
      </c>
      <c r="J72">
        <f>_xlfn.NORM.DIST(H72, $B$4, $E$5, FALSE)</f>
        <v>5.1877475320244025E-4</v>
      </c>
    </row>
    <row r="73" spans="8:10" x14ac:dyDescent="0.3">
      <c r="H73">
        <v>0.6600000000000007</v>
      </c>
      <c r="I73">
        <f>_xlfn.NORM.DIST(H73, $B$4, $E$4, FALSE)</f>
        <v>7.2463546927893876E-15</v>
      </c>
      <c r="J73">
        <f>_xlfn.NORM.DIST(H73, $B$4, $E$5, FALSE)</f>
        <v>2.9632884112516626E-4</v>
      </c>
    </row>
    <row r="74" spans="8:10" x14ac:dyDescent="0.3">
      <c r="H74">
        <v>0.68000000000000071</v>
      </c>
      <c r="I74">
        <f>_xlfn.NORM.DIST(H74, $B$4, $E$4, FALSE)</f>
        <v>8.2671834886162318E-16</v>
      </c>
      <c r="J74">
        <f>_xlfn.NORM.DIST(H74, $B$4, $E$5, FALSE)</f>
        <v>1.6628314193368698E-4</v>
      </c>
    </row>
  </sheetData>
  <mergeCells count="4">
    <mergeCell ref="A3:B3"/>
    <mergeCell ref="D3:E3"/>
    <mergeCell ref="A11:E11"/>
    <mergeCell ref="H3:J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2026-07-04T15:56:06Z</dcterms:created>
  <dcterms:modified xsi:type="dcterms:W3CDTF">2026-07-04T16:31:59Z</dcterms:modified>
</cp:coreProperties>
</file>