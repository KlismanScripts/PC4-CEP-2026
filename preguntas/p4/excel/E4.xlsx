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UNI 26-1\CONTROL ESTADISTICO DE PROCESOS\pc4\PC4-CEP-2026\preguntas\p4\excel\"/>
    </mc:Choice>
  </mc:AlternateContent>
  <xr:revisionPtr revIDLastSave="0" documentId="13_ncr:1_{DFF8D0BD-A113-47FC-BECD-AE398E007E50}" xr6:coauthVersionLast="47" xr6:coauthVersionMax="47" xr10:uidLastSave="{00000000-0000-0000-0000-000000000000}"/>
  <bookViews>
    <workbookView xWindow="-108" yWindow="-108" windowWidth="23256" windowHeight="12456" xr2:uid="{A2F2E121-3FCB-4196-93B8-6B1E85A12C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" i="1" l="1"/>
  <c r="D14" i="1"/>
  <c r="F14" i="1"/>
  <c r="E14" i="1"/>
  <c r="G13" i="1"/>
  <c r="D13" i="1"/>
  <c r="F13" i="1"/>
  <c r="E13" i="1"/>
  <c r="G12" i="1"/>
  <c r="D12" i="1"/>
  <c r="F12" i="1"/>
  <c r="E12" i="1"/>
  <c r="G11" i="1"/>
  <c r="D11" i="1"/>
  <c r="F11" i="1"/>
  <c r="E11" i="1"/>
  <c r="G10" i="1"/>
  <c r="D10" i="1"/>
  <c r="F10" i="1"/>
  <c r="E10" i="1"/>
  <c r="G9" i="1"/>
  <c r="D9" i="1"/>
  <c r="F9" i="1"/>
  <c r="E9" i="1"/>
  <c r="G8" i="1"/>
  <c r="D8" i="1"/>
  <c r="F8" i="1"/>
  <c r="E8" i="1"/>
  <c r="G7" i="1"/>
  <c r="D7" i="1"/>
  <c r="F7" i="1"/>
  <c r="E7" i="1"/>
  <c r="G6" i="1"/>
  <c r="D6" i="1"/>
  <c r="F6" i="1"/>
  <c r="E6" i="1"/>
  <c r="G5" i="1"/>
  <c r="D5" i="1"/>
  <c r="F5" i="1"/>
  <c r="E5" i="1"/>
  <c r="L10" i="1"/>
  <c r="L9" i="1"/>
  <c r="L7" i="1"/>
  <c r="L6" i="1"/>
</calcChain>
</file>

<file path=xl/sharedStrings.xml><?xml version="1.0" encoding="utf-8"?>
<sst xmlns="http://schemas.openxmlformats.org/spreadsheetml/2006/main" count="14" uniqueCount="14">
  <si>
    <t>Ruta (i)</t>
  </si>
  <si>
    <t>Tardías (np_i)</t>
  </si>
  <si>
    <t>LCI_np</t>
  </si>
  <si>
    <t>LC_np</t>
  </si>
  <si>
    <t>LCS_np</t>
  </si>
  <si>
    <t>Veredicto</t>
  </si>
  <si>
    <t>Total Paquetes (Sum n):</t>
  </si>
  <si>
    <t>Total Tardías (Sum np):</t>
  </si>
  <si>
    <t>Proporción (p-barra):</t>
  </si>
  <si>
    <t>SOLUCIÓN: CARTA 'np' (ENTREGAS TARDÍAS - TAMAÑO MUESTRA FIJO)</t>
  </si>
  <si>
    <t>Paquetes (n)</t>
  </si>
  <si>
    <t>CÁLCULOS MATEMÁTICOS (BINOMIAL)</t>
  </si>
  <si>
    <t>Línea Central (n*p-barra):</t>
  </si>
  <si>
    <t>REGLA DE DECISIÓN: Se utiliza la carta 'np' exclusivamente porque el tamaño de muestra es FIJO (n=40) en todas las rutas. Si 'n' variara, estaríamos obligados a usar la carta 'p' con límites variables.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</si>
</sst>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D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0" borderId="0" xfId="0"/>
    <xf numFmtId="0" fontId="1" fillId="0" borderId="0" xfId="0" applyFont="1"/>
    <xf numFmtId="164" fontId="0" fillId="3" borderId="0" xfId="0" applyNumberFormat="1" applyFill="1"/>
    <xf numFmtId="2" fontId="0" fillId="4" borderId="0" xfId="0" applyNumberFormat="1" applyFill="1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Carta np (Número de Entregas Tardías)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Fallas (np)</c:v>
          </c:tx>
          <c:cat>
            <c:numRef>
              <c:f>Hoja1!$A$5:$A$14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Hoja1!$C$5:$C$14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A3-4F2E-AC07-06D2A06A0820}"/>
            </c:ext>
          </c:extLst>
        </c:ser>
        <c:ser>
          <c:idx val="1"/>
          <c:order val="1"/>
          <c:tx>
            <c:v>LCI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Hoja1!$D$5:$D$14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A3-4F2E-AC07-06D2A06A0820}"/>
            </c:ext>
          </c:extLst>
        </c:ser>
        <c:ser>
          <c:idx val="2"/>
          <c:order val="2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Hoja1!$E$5:$E$14</c:f>
              <c:numCache>
                <c:formatCode>0.00</c:formatCode>
                <c:ptCount val="10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A3-4F2E-AC07-06D2A06A0820}"/>
            </c:ext>
          </c:extLst>
        </c:ser>
        <c:ser>
          <c:idx val="3"/>
          <c:order val="3"/>
          <c:tx>
            <c:v>LCS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Hoja1!$F$5:$F$14</c:f>
              <c:numCache>
                <c:formatCode>0.00</c:formatCode>
                <c:ptCount val="10"/>
                <c:pt idx="0">
                  <c:v>9.8548023423919595</c:v>
                </c:pt>
                <c:pt idx="1">
                  <c:v>9.8548023423919595</c:v>
                </c:pt>
                <c:pt idx="2">
                  <c:v>9.8548023423919595</c:v>
                </c:pt>
                <c:pt idx="3">
                  <c:v>9.8548023423919595</c:v>
                </c:pt>
                <c:pt idx="4">
                  <c:v>9.8548023423919595</c:v>
                </c:pt>
                <c:pt idx="5">
                  <c:v>9.8548023423919595</c:v>
                </c:pt>
                <c:pt idx="6">
                  <c:v>9.8548023423919595</c:v>
                </c:pt>
                <c:pt idx="7">
                  <c:v>9.8548023423919595</c:v>
                </c:pt>
                <c:pt idx="8">
                  <c:v>9.8548023423919595</c:v>
                </c:pt>
                <c:pt idx="9">
                  <c:v>9.8548023423919595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A3-4F2E-AC07-06D2A06A0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4236767"/>
        <c:axId val="1994234271"/>
      </c:lineChart>
      <c:catAx>
        <c:axId val="19942367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4234271"/>
        <c:crosses val="autoZero"/>
        <c:auto val="1"/>
        <c:lblAlgn val="ctr"/>
        <c:lblOffset val="100"/>
        <c:noMultiLvlLbl val="0"/>
      </c:catAx>
      <c:valAx>
        <c:axId val="199423427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423676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Carta np (Número de Entregas Tardías - Lotes de 40)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Entregas Tardías</c:v>
          </c:tx>
          <c:cat>
            <c:numRef>
              <c:f>Hoja1!$A$5:$A$14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Hoja1!$C$5:$C$14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B2-4271-B867-C2E06E2695DD}"/>
            </c:ext>
          </c:extLst>
        </c:ser>
        <c:ser>
          <c:idx val="1"/>
          <c:order val="1"/>
          <c:tx>
            <c:v>LCI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Hoja1!$D$5:$D$14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B2-4271-B867-C2E06E2695DD}"/>
            </c:ext>
          </c:extLst>
        </c:ser>
        <c:ser>
          <c:idx val="2"/>
          <c:order val="2"/>
          <c:tx>
            <c:v>LC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val>
            <c:numRef>
              <c:f>Hoja1!$E$5:$E$14</c:f>
              <c:numCache>
                <c:formatCode>0.00</c:formatCode>
                <c:ptCount val="10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B2-4271-B867-C2E06E2695DD}"/>
            </c:ext>
          </c:extLst>
        </c:ser>
        <c:ser>
          <c:idx val="3"/>
          <c:order val="3"/>
          <c:tx>
            <c:v>LCS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Hoja1!$F$5:$F$14</c:f>
              <c:numCache>
                <c:formatCode>0.00</c:formatCode>
                <c:ptCount val="10"/>
                <c:pt idx="0">
                  <c:v>9.8548023423919595</c:v>
                </c:pt>
                <c:pt idx="1">
                  <c:v>9.8548023423919595</c:v>
                </c:pt>
                <c:pt idx="2">
                  <c:v>9.8548023423919595</c:v>
                </c:pt>
                <c:pt idx="3">
                  <c:v>9.8548023423919595</c:v>
                </c:pt>
                <c:pt idx="4">
                  <c:v>9.8548023423919595</c:v>
                </c:pt>
                <c:pt idx="5">
                  <c:v>9.8548023423919595</c:v>
                </c:pt>
                <c:pt idx="6">
                  <c:v>9.8548023423919595</c:v>
                </c:pt>
                <c:pt idx="7">
                  <c:v>9.8548023423919595</c:v>
                </c:pt>
                <c:pt idx="8">
                  <c:v>9.8548023423919595</c:v>
                </c:pt>
                <c:pt idx="9">
                  <c:v>9.8548023423919595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B2-4271-B867-C2E06E269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5368799"/>
        <c:axId val="2001816607"/>
      </c:lineChart>
      <c:catAx>
        <c:axId val="2005368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01816607"/>
        <c:crosses val="autoZero"/>
        <c:auto val="1"/>
        <c:lblAlgn val="ctr"/>
        <c:lblOffset val="100"/>
        <c:noMultiLvlLbl val="0"/>
      </c:catAx>
      <c:valAx>
        <c:axId val="20018166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5368799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1653540</xdr:colOff>
      <xdr:row>15</xdr:row>
      <xdr:rowOff>30480</xdr:rowOff>
    </xdr:from>
    <xdr:to>
      <xdr:col>8</xdr:col>
      <xdr:colOff>60960</xdr:colOff>
      <xdr:row>34</xdr:row>
      <xdr:rowOff>111760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DB28C2E-9AE4-4EFA-8583-1DC27388B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3307080</xdr:colOff>
      <xdr:row>14</xdr:row>
      <xdr:rowOff>129540</xdr:rowOff>
    </xdr:from>
    <xdr:to>
      <xdr:col>8</xdr:col>
      <xdr:colOff>1143000</xdr:colOff>
      <xdr:row>34</xdr:row>
      <xdr:rowOff>27940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7ED1C4-171E-4C79-8F23-6844AF184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1894-DF27-4DFB-93BD-777D90FEF792}">
  <sheetPr codeName="Hoja1"/>
  <dimension ref="A1:L15"/>
  <sheetViews>
    <sheetView tabSelected="1" workbookViewId="0">
      <selection activeCell="I12" sqref="I12:L15"/>
    </sheetView>
  </sheetViews>
  <sheetFormatPr baseColWidth="10" defaultRowHeight="14.4" x14ac:dyDescent="0.3"/>
  <cols>
    <col min="1" max="1" width="77.6640625" bestFit="1" customWidth="1"/>
    <col min="2" max="2" width="11.6640625" bestFit="1" customWidth="1"/>
    <col min="3" max="3" width="12.44140625" bestFit="1" customWidth="1"/>
    <col min="4" max="4" width="6.77734375" bestFit="1" customWidth="1"/>
    <col min="5" max="5" width="6.21875" bestFit="1" customWidth="1"/>
    <col min="6" max="6" width="7.21875" bestFit="1" customWidth="1"/>
    <col min="7" max="7" width="9.109375" bestFit="1" customWidth="1"/>
    <col min="9" max="9" width="23.77734375" customWidth="1"/>
    <col min="12" max="12" width="6.5546875" bestFit="1" customWidth="1"/>
  </cols>
  <sheetData>
    <row r="1" spans="1:12" ht="18" x14ac:dyDescent="0.35">
      <c r="A1" s="1" t="s">
        <v>9</v>
      </c>
    </row>
    <row r="4" spans="1:12" x14ac:dyDescent="0.3">
      <c r="A4" s="2" t="s">
        <v>0</v>
      </c>
      <c r="B4" s="2" t="s">
        <v>10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I4" s="4" t="s">
        <v>11</v>
      </c>
      <c r="J4" s="3"/>
      <c r="K4" s="3"/>
      <c r="L4" s="3"/>
    </row>
    <row r="5" spans="1:12" x14ac:dyDescent="0.3">
      <c r="A5">
        <v>1</v>
      </c>
      <c r="B5">
        <v>40</v>
      </c>
      <c r="C5">
        <v>3</v>
      </c>
      <c r="D5" s="8">
        <f>MAX(0, $L$10 - 3 * SQRT($L$10 * (1 - $L$9)))</f>
        <v>0</v>
      </c>
      <c r="E5" s="8">
        <f>$L$10</f>
        <v>4.0999999999999996</v>
      </c>
      <c r="F5" s="8">
        <f>$L$10 + 3 * SQRT($L$10 * (1 - $L$9))</f>
        <v>9.8548023423919595</v>
      </c>
      <c r="G5" t="str">
        <f>IF(OR(C5&lt;D5, C5&gt;F5), "FUERA DE CONTROL", "OK")</f>
        <v>OK</v>
      </c>
    </row>
    <row r="6" spans="1:12" x14ac:dyDescent="0.3">
      <c r="A6">
        <v>2</v>
      </c>
      <c r="B6">
        <v>40</v>
      </c>
      <c r="C6">
        <v>5</v>
      </c>
      <c r="D6" s="8">
        <f>MAX(0, $L$10 - 3 * SQRT($L$10 * (1 - $L$9)))</f>
        <v>0</v>
      </c>
      <c r="E6" s="8">
        <f>$L$10</f>
        <v>4.0999999999999996</v>
      </c>
      <c r="F6" s="8">
        <f>$L$10 + 3 * SQRT($L$10 * (1 - $L$9))</f>
        <v>9.8548023423919595</v>
      </c>
      <c r="G6" t="str">
        <f>IF(OR(C6&lt;D6, C6&gt;F6), "FUERA DE CONTROL", "OK")</f>
        <v>OK</v>
      </c>
      <c r="I6" t="s">
        <v>6</v>
      </c>
      <c r="L6">
        <f>SUM(B5:B14)</f>
        <v>400</v>
      </c>
    </row>
    <row r="7" spans="1:12" x14ac:dyDescent="0.3">
      <c r="A7">
        <v>3</v>
      </c>
      <c r="B7">
        <v>40</v>
      </c>
      <c r="C7">
        <v>2</v>
      </c>
      <c r="D7" s="8">
        <f>MAX(0, $L$10 - 3 * SQRT($L$10 * (1 - $L$9)))</f>
        <v>0</v>
      </c>
      <c r="E7" s="8">
        <f>$L$10</f>
        <v>4.0999999999999996</v>
      </c>
      <c r="F7" s="8">
        <f>$L$10 + 3 * SQRT($L$10 * (1 - $L$9))</f>
        <v>9.8548023423919595</v>
      </c>
      <c r="G7" t="str">
        <f>IF(OR(C7&lt;D7, C7&gt;F7), "FUERA DE CONTROL", "OK")</f>
        <v>OK</v>
      </c>
      <c r="I7" t="s">
        <v>7</v>
      </c>
      <c r="L7">
        <f>SUM(C5:C14)</f>
        <v>41</v>
      </c>
    </row>
    <row r="8" spans="1:12" x14ac:dyDescent="0.3">
      <c r="A8">
        <v>4</v>
      </c>
      <c r="B8">
        <v>40</v>
      </c>
      <c r="C8">
        <v>6</v>
      </c>
      <c r="D8" s="8">
        <f>MAX(0, $L$10 - 3 * SQRT($L$10 * (1 - $L$9)))</f>
        <v>0</v>
      </c>
      <c r="E8" s="8">
        <f>$L$10</f>
        <v>4.0999999999999996</v>
      </c>
      <c r="F8" s="8">
        <f>$L$10 + 3 * SQRT($L$10 * (1 - $L$9))</f>
        <v>9.8548023423919595</v>
      </c>
      <c r="G8" t="str">
        <f>IF(OR(C8&lt;D8, C8&gt;F8), "FUERA DE CONTROL", "OK")</f>
        <v>OK</v>
      </c>
    </row>
    <row r="9" spans="1:12" x14ac:dyDescent="0.3">
      <c r="A9">
        <v>5</v>
      </c>
      <c r="B9">
        <v>40</v>
      </c>
      <c r="C9">
        <v>4</v>
      </c>
      <c r="D9" s="8">
        <f>MAX(0, $L$10 - 3 * SQRT($L$10 * (1 - $L$9)))</f>
        <v>0</v>
      </c>
      <c r="E9" s="8">
        <f>$L$10</f>
        <v>4.0999999999999996</v>
      </c>
      <c r="F9" s="8">
        <f>$L$10 + 3 * SQRT($L$10 * (1 - $L$9))</f>
        <v>9.8548023423919595</v>
      </c>
      <c r="G9" t="str">
        <f>IF(OR(C9&lt;D9, C9&gt;F9), "FUERA DE CONTROL", "OK")</f>
        <v>OK</v>
      </c>
      <c r="I9" t="s">
        <v>8</v>
      </c>
      <c r="L9" s="5">
        <f>L7/L6</f>
        <v>0.10249999999999999</v>
      </c>
    </row>
    <row r="10" spans="1:12" x14ac:dyDescent="0.3">
      <c r="A10">
        <v>6</v>
      </c>
      <c r="B10">
        <v>40</v>
      </c>
      <c r="C10">
        <v>3</v>
      </c>
      <c r="D10" s="8">
        <f>MAX(0, $L$10 - 3 * SQRT($L$10 * (1 - $L$9)))</f>
        <v>0</v>
      </c>
      <c r="E10" s="8">
        <f>$L$10</f>
        <v>4.0999999999999996</v>
      </c>
      <c r="F10" s="8">
        <f>$L$10 + 3 * SQRT($L$10 * (1 - $L$9))</f>
        <v>9.8548023423919595</v>
      </c>
      <c r="G10" t="str">
        <f>IF(OR(C10&lt;D10, C10&gt;F10), "FUERA DE CONTROL", "OK")</f>
        <v>OK</v>
      </c>
      <c r="I10" t="s">
        <v>12</v>
      </c>
      <c r="L10" s="6">
        <f>40*L9</f>
        <v>4.0999999999999996</v>
      </c>
    </row>
    <row r="11" spans="1:12" x14ac:dyDescent="0.3">
      <c r="A11">
        <v>7</v>
      </c>
      <c r="B11">
        <v>40</v>
      </c>
      <c r="C11">
        <v>7</v>
      </c>
      <c r="D11" s="8">
        <f>MAX(0, $L$10 - 3 * SQRT($L$10 * (1 - $L$9)))</f>
        <v>0</v>
      </c>
      <c r="E11" s="8">
        <f>$L$10</f>
        <v>4.0999999999999996</v>
      </c>
      <c r="F11" s="8">
        <f>$L$10 + 3 * SQRT($L$10 * (1 - $L$9))</f>
        <v>9.8548023423919595</v>
      </c>
      <c r="G11" t="str">
        <f>IF(OR(C11&lt;D11, C11&gt;F11), "FUERA DE CONTROL", "OK")</f>
        <v>OK</v>
      </c>
    </row>
    <row r="12" spans="1:12" x14ac:dyDescent="0.3">
      <c r="A12">
        <v>8</v>
      </c>
      <c r="B12">
        <v>40</v>
      </c>
      <c r="C12">
        <v>2</v>
      </c>
      <c r="D12" s="8">
        <f>MAX(0, $L$10 - 3 * SQRT($L$10 * (1 - $L$9)))</f>
        <v>0</v>
      </c>
      <c r="E12" s="8">
        <f>$L$10</f>
        <v>4.0999999999999996</v>
      </c>
      <c r="F12" s="8">
        <f>$L$10 + 3 * SQRT($L$10 * (1 - $L$9))</f>
        <v>9.8548023423919595</v>
      </c>
      <c r="G12" t="str">
        <f>IF(OR(C12&lt;D12, C12&gt;F12), "FUERA DE CONTROL", "OK")</f>
        <v>OK</v>
      </c>
      <c r="I12" s="7" t="s">
        <v>13</v>
      </c>
      <c r="J12" s="7"/>
      <c r="K12" s="7"/>
      <c r="L12" s="7"/>
    </row>
    <row r="13" spans="1:12" x14ac:dyDescent="0.3">
      <c r="A13">
        <v>9</v>
      </c>
      <c r="B13">
        <v>40</v>
      </c>
      <c r="C13">
        <v>5</v>
      </c>
      <c r="D13" s="8">
        <f>MAX(0, $L$10 - 3 * SQRT($L$10 * (1 - $L$9)))</f>
        <v>0</v>
      </c>
      <c r="E13" s="8">
        <f>$L$10</f>
        <v>4.0999999999999996</v>
      </c>
      <c r="F13" s="8">
        <f>$L$10 + 3 * SQRT($L$10 * (1 - $L$9))</f>
        <v>9.8548023423919595</v>
      </c>
      <c r="G13" t="str">
        <f>IF(OR(C13&lt;D13, C13&gt;F13), "FUERA DE CONTROL", "OK")</f>
        <v>OK</v>
      </c>
      <c r="I13" s="7"/>
      <c r="J13" s="7"/>
      <c r="K13" s="7"/>
      <c r="L13" s="7"/>
    </row>
    <row r="14" spans="1:12" x14ac:dyDescent="0.3">
      <c r="A14">
        <v>10</v>
      </c>
      <c r="B14">
        <v>40</v>
      </c>
      <c r="C14">
        <v>4</v>
      </c>
      <c r="D14" s="8">
        <f>MAX(0, $L$10 - 3 * SQRT($L$10 * (1 - $L$9)))</f>
        <v>0</v>
      </c>
      <c r="E14" s="8">
        <f>$L$10</f>
        <v>4.0999999999999996</v>
      </c>
      <c r="F14" s="8">
        <f>$L$10 + 3 * SQRT($L$10 * (1 - $L$9))</f>
        <v>9.8548023423919595</v>
      </c>
      <c r="G14" t="str">
        <f>IF(OR(C14&lt;D14, C14&gt;F14), "FUERA DE CONTROL", "OK")</f>
        <v>OK</v>
      </c>
      <c r="I14" s="7"/>
      <c r="J14" s="7"/>
      <c r="K14" s="7"/>
      <c r="L14" s="7"/>
    </row>
    <row r="15" spans="1:12" x14ac:dyDescent="0.3">
      <c r="I15" s="7"/>
      <c r="J15" s="7"/>
      <c r="K15" s="7"/>
      <c r="L15" s="7"/>
    </row>
  </sheetData>
  <mergeCells count="2">
    <mergeCell ref="I4:L4"/>
    <mergeCell ref="I12:L15"/>
  </mergeCells>
  <conditionalFormatting sqref="G5:G14">
    <cfRule type="cellIs" dxfId="0" priority="1" stopIfTrue="1" operator="equal">
      <formula>"FUERA DE CONTROL"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2026-07-04T16:17:17Z</dcterms:created>
  <dcterms:modified xsi:type="dcterms:W3CDTF">2026-07-04T16:32:26Z</dcterms:modified>
</cp:coreProperties>
</file>