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UNI 26-1\CONTROL ESTADISTICO DE PROCESOS\pc4\PC4-CEP-2026\preguntas\p2\excel\"/>
    </mc:Choice>
  </mc:AlternateContent>
  <xr:revisionPtr revIDLastSave="0" documentId="13_ncr:1_{D085EEE3-7527-4EB9-AE2B-99CBD324FFE3}" xr6:coauthVersionLast="47" xr6:coauthVersionMax="47" xr10:uidLastSave="{00000000-0000-0000-0000-000000000000}"/>
  <bookViews>
    <workbookView xWindow="-108" yWindow="-108" windowWidth="23256" windowHeight="12456" xr2:uid="{5AF40F23-0A9E-40A6-8F16-B468CC92C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E22" i="1"/>
  <c r="G22" i="1"/>
  <c r="F22" i="1"/>
  <c r="H21" i="1"/>
  <c r="E21" i="1"/>
  <c r="G21" i="1"/>
  <c r="F21" i="1"/>
  <c r="H20" i="1"/>
  <c r="E20" i="1"/>
  <c r="G20" i="1"/>
  <c r="F20" i="1"/>
  <c r="H19" i="1"/>
  <c r="E19" i="1"/>
  <c r="G19" i="1"/>
  <c r="F19" i="1"/>
  <c r="H18" i="1"/>
  <c r="E18" i="1"/>
  <c r="G18" i="1"/>
  <c r="F18" i="1"/>
  <c r="H17" i="1"/>
  <c r="E17" i="1"/>
  <c r="G17" i="1"/>
  <c r="F17" i="1"/>
  <c r="H16" i="1"/>
  <c r="E16" i="1"/>
  <c r="G16" i="1"/>
  <c r="F16" i="1"/>
  <c r="H15" i="1"/>
  <c r="E15" i="1"/>
  <c r="G15" i="1"/>
  <c r="F15" i="1"/>
  <c r="H14" i="1"/>
  <c r="E14" i="1"/>
  <c r="G14" i="1"/>
  <c r="F14" i="1"/>
  <c r="H13" i="1"/>
  <c r="E13" i="1"/>
  <c r="G13" i="1"/>
  <c r="F13" i="1"/>
  <c r="H12" i="1"/>
  <c r="E12" i="1"/>
  <c r="G12" i="1"/>
  <c r="F12" i="1"/>
  <c r="H11" i="1"/>
  <c r="E11" i="1"/>
  <c r="G11" i="1"/>
  <c r="F11" i="1"/>
  <c r="H10" i="1"/>
  <c r="E10" i="1"/>
  <c r="G10" i="1"/>
  <c r="F10" i="1"/>
  <c r="H9" i="1"/>
  <c r="E9" i="1"/>
  <c r="G9" i="1"/>
  <c r="F9" i="1"/>
  <c r="H8" i="1"/>
  <c r="E8" i="1"/>
  <c r="G8" i="1"/>
  <c r="F8" i="1"/>
  <c r="H7" i="1"/>
  <c r="E7" i="1"/>
  <c r="G7" i="1"/>
  <c r="F7" i="1"/>
  <c r="H6" i="1"/>
  <c r="E6" i="1"/>
  <c r="G6" i="1"/>
  <c r="F6" i="1"/>
  <c r="H5" i="1"/>
  <c r="E5" i="1"/>
  <c r="G5" i="1"/>
  <c r="F5" i="1"/>
  <c r="M9" i="1"/>
  <c r="M7" i="1"/>
  <c r="M6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<sst xmlns="http://schemas.openxmlformats.org/spreadsheetml/2006/main" count="13" uniqueCount="13">
  <si>
    <t>Día (i)</t>
  </si>
  <si>
    <t>n (Pedidos)</t>
  </si>
  <si>
    <t>Errores (c)</t>
  </si>
  <si>
    <t>Tasa (u_i)</t>
  </si>
  <si>
    <t>LCI_u</t>
  </si>
  <si>
    <t>LC_u</t>
  </si>
  <si>
    <t>LCS_u</t>
  </si>
  <si>
    <t>Veredicto</t>
  </si>
  <si>
    <t>Total Pedidos (Sum n):</t>
  </si>
  <si>
    <t>Total Errores (Sum c):</t>
  </si>
  <si>
    <t>Tasa Promedio (u-barra):</t>
  </si>
  <si>
    <t>ANÁLISIS CEP: CARTA 'U' CON LÍMITES VARIABLES (RESOLUCIÓN EXACTA)</t>
  </si>
  <si>
    <t>CÁLCULOS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</si>
</sst>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DCF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164" fontId="0" fillId="3" borderId="0" xfId="0" applyNumberFormat="1" applyFill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Carta u (Tasa de Errores de Picking por Pedido)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u_i</c:v>
          </c:tx>
          <c:cat>
            <c:numRef>
              <c:f>Hoja1!$A$5:$A$22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Hoja1!$D$5:$D$22</c:f>
              <c:numCache>
                <c:formatCode>0.000</c:formatCode>
                <c:ptCount val="18"/>
                <c:pt idx="0">
                  <c:v>0.06</c:v>
                </c:pt>
                <c:pt idx="1">
                  <c:v>4.4444444444444446E-2</c:v>
                </c:pt>
                <c:pt idx="2">
                  <c:v>7.2727272727272724E-2</c:v>
                </c:pt>
                <c:pt idx="3">
                  <c:v>6.25E-2</c:v>
                </c:pt>
                <c:pt idx="4">
                  <c:v>3.8461538461538464E-2</c:v>
                </c:pt>
                <c:pt idx="5">
                  <c:v>8.3333333333333329E-2</c:v>
                </c:pt>
                <c:pt idx="6">
                  <c:v>6.3829787234042548E-2</c:v>
                </c:pt>
                <c:pt idx="7">
                  <c:v>0.08</c:v>
                </c:pt>
                <c:pt idx="8">
                  <c:v>4.5454545454545456E-2</c:v>
                </c:pt>
                <c:pt idx="9">
                  <c:v>8.6206896551724144E-2</c:v>
                </c:pt>
                <c:pt idx="10">
                  <c:v>5.6603773584905662E-2</c:v>
                </c:pt>
                <c:pt idx="11">
                  <c:v>4.0816326530612242E-2</c:v>
                </c:pt>
                <c:pt idx="12">
                  <c:v>7.1428571428571425E-2</c:v>
                </c:pt>
                <c:pt idx="13">
                  <c:v>5.8823529411764705E-2</c:v>
                </c:pt>
                <c:pt idx="14">
                  <c:v>4.3478260869565216E-2</c:v>
                </c:pt>
                <c:pt idx="15">
                  <c:v>0.10169491525423729</c:v>
                </c:pt>
                <c:pt idx="16">
                  <c:v>5.5555555555555552E-2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8-490C-A29C-6F45BE3510F5}"/>
            </c:ext>
          </c:extLst>
        </c:ser>
        <c:ser>
          <c:idx val="1"/>
          <c:order val="1"/>
          <c:tx>
            <c:v>LCI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Hoja1!$E$5:$E$22</c:f>
              <c:numCache>
                <c:formatCode>0.000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C8-490C-A29C-6F45BE3510F5}"/>
            </c:ext>
          </c:extLst>
        </c:ser>
        <c:ser>
          <c:idx val="2"/>
          <c:order val="2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Hoja1!$F$5:$F$22</c:f>
              <c:numCache>
                <c:formatCode>0.000</c:formatCode>
                <c:ptCount val="18"/>
                <c:pt idx="0">
                  <c:v>6.3646170442286945E-2</c:v>
                </c:pt>
                <c:pt idx="1">
                  <c:v>6.3646170442286945E-2</c:v>
                </c:pt>
                <c:pt idx="2">
                  <c:v>6.3646170442286945E-2</c:v>
                </c:pt>
                <c:pt idx="3">
                  <c:v>6.3646170442286945E-2</c:v>
                </c:pt>
                <c:pt idx="4">
                  <c:v>6.3646170442286945E-2</c:v>
                </c:pt>
                <c:pt idx="5">
                  <c:v>6.3646170442286945E-2</c:v>
                </c:pt>
                <c:pt idx="6">
                  <c:v>6.3646170442286945E-2</c:v>
                </c:pt>
                <c:pt idx="7">
                  <c:v>6.3646170442286945E-2</c:v>
                </c:pt>
                <c:pt idx="8">
                  <c:v>6.3646170442286945E-2</c:v>
                </c:pt>
                <c:pt idx="9">
                  <c:v>6.3646170442286945E-2</c:v>
                </c:pt>
                <c:pt idx="10">
                  <c:v>6.3646170442286945E-2</c:v>
                </c:pt>
                <c:pt idx="11">
                  <c:v>6.3646170442286945E-2</c:v>
                </c:pt>
                <c:pt idx="12">
                  <c:v>6.3646170442286945E-2</c:v>
                </c:pt>
                <c:pt idx="13">
                  <c:v>6.3646170442286945E-2</c:v>
                </c:pt>
                <c:pt idx="14">
                  <c:v>6.3646170442286945E-2</c:v>
                </c:pt>
                <c:pt idx="15">
                  <c:v>6.3646170442286945E-2</c:v>
                </c:pt>
                <c:pt idx="16">
                  <c:v>6.3646170442286945E-2</c:v>
                </c:pt>
                <c:pt idx="17">
                  <c:v>6.3646170442286945E-2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C8-490C-A29C-6F45BE3510F5}"/>
            </c:ext>
          </c:extLst>
        </c:ser>
        <c:ser>
          <c:idx val="3"/>
          <c:order val="3"/>
          <c:tx>
            <c:v>LCS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Hoja1!$G$5:$G$22</c:f>
              <c:numCache>
                <c:formatCode>0.000</c:formatCode>
                <c:ptCount val="18"/>
                <c:pt idx="0">
                  <c:v>0.17068032704480168</c:v>
                </c:pt>
                <c:pt idx="1">
                  <c:v>0.17647007787531899</c:v>
                </c:pt>
                <c:pt idx="2">
                  <c:v>0.16569923453423885</c:v>
                </c:pt>
                <c:pt idx="3">
                  <c:v>0.17288744907783204</c:v>
                </c:pt>
                <c:pt idx="4">
                  <c:v>0.16860179604558861</c:v>
                </c:pt>
                <c:pt idx="5">
                  <c:v>0.16135454043351666</c:v>
                </c:pt>
                <c:pt idx="6">
                  <c:v>0.17404347363751155</c:v>
                </c:pt>
                <c:pt idx="7">
                  <c:v>0.17068032704480168</c:v>
                </c:pt>
                <c:pt idx="8">
                  <c:v>0.17774496475316059</c:v>
                </c:pt>
                <c:pt idx="9">
                  <c:v>0.16302488997628445</c:v>
                </c:pt>
                <c:pt idx="10">
                  <c:v>0.16760693353964295</c:v>
                </c:pt>
                <c:pt idx="11">
                  <c:v>0.17176699608831703</c:v>
                </c:pt>
                <c:pt idx="12">
                  <c:v>0.16478394192792839</c:v>
                </c:pt>
                <c:pt idx="13">
                  <c:v>0.1696257776168475</c:v>
                </c:pt>
                <c:pt idx="14">
                  <c:v>0.17523699268261966</c:v>
                </c:pt>
                <c:pt idx="15">
                  <c:v>0.16217909825871624</c:v>
                </c:pt>
                <c:pt idx="16">
                  <c:v>0.16663983565386437</c:v>
                </c:pt>
                <c:pt idx="17">
                  <c:v>0.17068032704480168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C8-490C-A29C-6F45BE351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496447"/>
        <c:axId val="1855499775"/>
      </c:lineChart>
      <c:catAx>
        <c:axId val="1855496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55499775"/>
        <c:crosses val="autoZero"/>
        <c:auto val="1"/>
        <c:lblAlgn val="ctr"/>
        <c:lblOffset val="100"/>
        <c:noMultiLvlLbl val="0"/>
      </c:catAx>
      <c:valAx>
        <c:axId val="1855499775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85549644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Carta u (Tasa de Errores) - Límites Rectos (n-barra)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u_i</c:v>
          </c:tx>
          <c:cat>
            <c:numRef>
              <c:f>Hoja1!$A$5:$A$22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Hoja1!$D$5:$D$22</c:f>
              <c:numCache>
                <c:formatCode>0.000</c:formatCode>
                <c:ptCount val="18"/>
                <c:pt idx="0">
                  <c:v>0.06</c:v>
                </c:pt>
                <c:pt idx="1">
                  <c:v>4.4444444444444446E-2</c:v>
                </c:pt>
                <c:pt idx="2">
                  <c:v>7.2727272727272724E-2</c:v>
                </c:pt>
                <c:pt idx="3">
                  <c:v>6.25E-2</c:v>
                </c:pt>
                <c:pt idx="4">
                  <c:v>3.8461538461538464E-2</c:v>
                </c:pt>
                <c:pt idx="5">
                  <c:v>8.3333333333333329E-2</c:v>
                </c:pt>
                <c:pt idx="6">
                  <c:v>6.3829787234042548E-2</c:v>
                </c:pt>
                <c:pt idx="7">
                  <c:v>0.08</c:v>
                </c:pt>
                <c:pt idx="8">
                  <c:v>4.5454545454545456E-2</c:v>
                </c:pt>
                <c:pt idx="9">
                  <c:v>8.6206896551724144E-2</c:v>
                </c:pt>
                <c:pt idx="10">
                  <c:v>5.6603773584905662E-2</c:v>
                </c:pt>
                <c:pt idx="11">
                  <c:v>4.0816326530612242E-2</c:v>
                </c:pt>
                <c:pt idx="12">
                  <c:v>7.1428571428571425E-2</c:v>
                </c:pt>
                <c:pt idx="13">
                  <c:v>5.8823529411764705E-2</c:v>
                </c:pt>
                <c:pt idx="14">
                  <c:v>4.3478260869565216E-2</c:v>
                </c:pt>
                <c:pt idx="15">
                  <c:v>0.10169491525423729</c:v>
                </c:pt>
                <c:pt idx="16">
                  <c:v>5.5555555555555552E-2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B-421C-A847-BF0BB6B143C1}"/>
            </c:ext>
          </c:extLst>
        </c:ser>
        <c:ser>
          <c:idx val="1"/>
          <c:order val="1"/>
          <c:tx>
            <c:v>LCI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Hoja1!$E$5:$E$22</c:f>
              <c:numCache>
                <c:formatCode>0.000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21C-A847-BF0BB6B143C1}"/>
            </c:ext>
          </c:extLst>
        </c:ser>
        <c:ser>
          <c:idx val="2"/>
          <c:order val="2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Hoja1!$F$5:$F$22</c:f>
              <c:numCache>
                <c:formatCode>0.000</c:formatCode>
                <c:ptCount val="18"/>
                <c:pt idx="0">
                  <c:v>6.3646170442286945E-2</c:v>
                </c:pt>
                <c:pt idx="1">
                  <c:v>6.3646170442286945E-2</c:v>
                </c:pt>
                <c:pt idx="2">
                  <c:v>6.3646170442286945E-2</c:v>
                </c:pt>
                <c:pt idx="3">
                  <c:v>6.3646170442286945E-2</c:v>
                </c:pt>
                <c:pt idx="4">
                  <c:v>6.3646170442286945E-2</c:v>
                </c:pt>
                <c:pt idx="5">
                  <c:v>6.3646170442286945E-2</c:v>
                </c:pt>
                <c:pt idx="6">
                  <c:v>6.3646170442286945E-2</c:v>
                </c:pt>
                <c:pt idx="7">
                  <c:v>6.3646170442286945E-2</c:v>
                </c:pt>
                <c:pt idx="8">
                  <c:v>6.3646170442286945E-2</c:v>
                </c:pt>
                <c:pt idx="9">
                  <c:v>6.3646170442286945E-2</c:v>
                </c:pt>
                <c:pt idx="10">
                  <c:v>6.3646170442286945E-2</c:v>
                </c:pt>
                <c:pt idx="11">
                  <c:v>6.3646170442286945E-2</c:v>
                </c:pt>
                <c:pt idx="12">
                  <c:v>6.3646170442286945E-2</c:v>
                </c:pt>
                <c:pt idx="13">
                  <c:v>6.3646170442286945E-2</c:v>
                </c:pt>
                <c:pt idx="14">
                  <c:v>6.3646170442286945E-2</c:v>
                </c:pt>
                <c:pt idx="15">
                  <c:v>6.3646170442286945E-2</c:v>
                </c:pt>
                <c:pt idx="16">
                  <c:v>6.3646170442286945E-2</c:v>
                </c:pt>
                <c:pt idx="17">
                  <c:v>6.3646170442286945E-2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21C-A847-BF0BB6B143C1}"/>
            </c:ext>
          </c:extLst>
        </c:ser>
        <c:ser>
          <c:idx val="3"/>
          <c:order val="3"/>
          <c:tx>
            <c:v>LCS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Hoja1!$G$5:$G$22</c:f>
              <c:numCache>
                <c:formatCode>0.000</c:formatCode>
                <c:ptCount val="18"/>
                <c:pt idx="0">
                  <c:v>0.17068032704480168</c:v>
                </c:pt>
                <c:pt idx="1">
                  <c:v>0.17647007787531899</c:v>
                </c:pt>
                <c:pt idx="2">
                  <c:v>0.16569923453423885</c:v>
                </c:pt>
                <c:pt idx="3">
                  <c:v>0.17288744907783204</c:v>
                </c:pt>
                <c:pt idx="4">
                  <c:v>0.16860179604558861</c:v>
                </c:pt>
                <c:pt idx="5">
                  <c:v>0.16135454043351666</c:v>
                </c:pt>
                <c:pt idx="6">
                  <c:v>0.17404347363751155</c:v>
                </c:pt>
                <c:pt idx="7">
                  <c:v>0.17068032704480168</c:v>
                </c:pt>
                <c:pt idx="8">
                  <c:v>0.17774496475316059</c:v>
                </c:pt>
                <c:pt idx="9">
                  <c:v>0.16302488997628445</c:v>
                </c:pt>
                <c:pt idx="10">
                  <c:v>0.16760693353964295</c:v>
                </c:pt>
                <c:pt idx="11">
                  <c:v>0.17176699608831703</c:v>
                </c:pt>
                <c:pt idx="12">
                  <c:v>0.16478394192792839</c:v>
                </c:pt>
                <c:pt idx="13">
                  <c:v>0.1696257776168475</c:v>
                </c:pt>
                <c:pt idx="14">
                  <c:v>0.17523699268261966</c:v>
                </c:pt>
                <c:pt idx="15">
                  <c:v>0.16217909825871624</c:v>
                </c:pt>
                <c:pt idx="16">
                  <c:v>0.16663983565386437</c:v>
                </c:pt>
                <c:pt idx="17">
                  <c:v>0.17068032704480168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9B-421C-A847-BF0BB6B1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058111"/>
        <c:axId val="1848058527"/>
      </c:lineChart>
      <c:catAx>
        <c:axId val="184805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8058527"/>
        <c:crosses val="autoZero"/>
        <c:auto val="1"/>
        <c:lblAlgn val="ctr"/>
        <c:lblOffset val="100"/>
        <c:noMultiLvlLbl val="0"/>
      </c:catAx>
      <c:valAx>
        <c:axId val="184805852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84805811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Carta u (Tasa de Errores) - Límites Variables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u_i (Tasa Diaria)</c:v>
          </c:tx>
          <c:cat>
            <c:numRef>
              <c:f>Hoja1!$A$5:$A$22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Hoja1!$D$5:$D$22</c:f>
              <c:numCache>
                <c:formatCode>0.000</c:formatCode>
                <c:ptCount val="18"/>
                <c:pt idx="0">
                  <c:v>0.06</c:v>
                </c:pt>
                <c:pt idx="1">
                  <c:v>4.4444444444444446E-2</c:v>
                </c:pt>
                <c:pt idx="2">
                  <c:v>7.2727272727272724E-2</c:v>
                </c:pt>
                <c:pt idx="3">
                  <c:v>6.25E-2</c:v>
                </c:pt>
                <c:pt idx="4">
                  <c:v>3.8461538461538464E-2</c:v>
                </c:pt>
                <c:pt idx="5">
                  <c:v>8.3333333333333329E-2</c:v>
                </c:pt>
                <c:pt idx="6">
                  <c:v>6.3829787234042548E-2</c:v>
                </c:pt>
                <c:pt idx="7">
                  <c:v>0.08</c:v>
                </c:pt>
                <c:pt idx="8">
                  <c:v>4.5454545454545456E-2</c:v>
                </c:pt>
                <c:pt idx="9">
                  <c:v>8.6206896551724144E-2</c:v>
                </c:pt>
                <c:pt idx="10">
                  <c:v>5.6603773584905662E-2</c:v>
                </c:pt>
                <c:pt idx="11">
                  <c:v>4.0816326530612242E-2</c:v>
                </c:pt>
                <c:pt idx="12">
                  <c:v>7.1428571428571425E-2</c:v>
                </c:pt>
                <c:pt idx="13">
                  <c:v>5.8823529411764705E-2</c:v>
                </c:pt>
                <c:pt idx="14">
                  <c:v>4.3478260869565216E-2</c:v>
                </c:pt>
                <c:pt idx="15">
                  <c:v>0.10169491525423729</c:v>
                </c:pt>
                <c:pt idx="16">
                  <c:v>5.5555555555555552E-2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B-4FF2-ABD9-D2270BA4570F}"/>
            </c:ext>
          </c:extLst>
        </c:ser>
        <c:ser>
          <c:idx val="1"/>
          <c:order val="1"/>
          <c:tx>
            <c:v>LCI_u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Hoja1!$E$5:$E$22</c:f>
              <c:numCache>
                <c:formatCode>0.000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B-4FF2-ABD9-D2270BA4570F}"/>
            </c:ext>
          </c:extLst>
        </c:ser>
        <c:ser>
          <c:idx val="2"/>
          <c:order val="2"/>
          <c:tx>
            <c:v>LC_u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Hoja1!$F$5:$F$22</c:f>
              <c:numCache>
                <c:formatCode>0.000</c:formatCode>
                <c:ptCount val="18"/>
                <c:pt idx="0">
                  <c:v>6.3646170442286945E-2</c:v>
                </c:pt>
                <c:pt idx="1">
                  <c:v>6.3646170442286945E-2</c:v>
                </c:pt>
                <c:pt idx="2">
                  <c:v>6.3646170442286945E-2</c:v>
                </c:pt>
                <c:pt idx="3">
                  <c:v>6.3646170442286945E-2</c:v>
                </c:pt>
                <c:pt idx="4">
                  <c:v>6.3646170442286945E-2</c:v>
                </c:pt>
                <c:pt idx="5">
                  <c:v>6.3646170442286945E-2</c:v>
                </c:pt>
                <c:pt idx="6">
                  <c:v>6.3646170442286945E-2</c:v>
                </c:pt>
                <c:pt idx="7">
                  <c:v>6.3646170442286945E-2</c:v>
                </c:pt>
                <c:pt idx="8">
                  <c:v>6.3646170442286945E-2</c:v>
                </c:pt>
                <c:pt idx="9">
                  <c:v>6.3646170442286945E-2</c:v>
                </c:pt>
                <c:pt idx="10">
                  <c:v>6.3646170442286945E-2</c:v>
                </c:pt>
                <c:pt idx="11">
                  <c:v>6.3646170442286945E-2</c:v>
                </c:pt>
                <c:pt idx="12">
                  <c:v>6.3646170442286945E-2</c:v>
                </c:pt>
                <c:pt idx="13">
                  <c:v>6.3646170442286945E-2</c:v>
                </c:pt>
                <c:pt idx="14">
                  <c:v>6.3646170442286945E-2</c:v>
                </c:pt>
                <c:pt idx="15">
                  <c:v>6.3646170442286945E-2</c:v>
                </c:pt>
                <c:pt idx="16">
                  <c:v>6.3646170442286945E-2</c:v>
                </c:pt>
                <c:pt idx="17">
                  <c:v>6.3646170442286945E-2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B-4FF2-ABD9-D2270BA4570F}"/>
            </c:ext>
          </c:extLst>
        </c:ser>
        <c:ser>
          <c:idx val="3"/>
          <c:order val="3"/>
          <c:tx>
            <c:v>LCS_u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Hoja1!$G$5:$G$22</c:f>
              <c:numCache>
                <c:formatCode>0.000</c:formatCode>
                <c:ptCount val="18"/>
                <c:pt idx="0">
                  <c:v>0.17068032704480168</c:v>
                </c:pt>
                <c:pt idx="1">
                  <c:v>0.17647007787531899</c:v>
                </c:pt>
                <c:pt idx="2">
                  <c:v>0.16569923453423885</c:v>
                </c:pt>
                <c:pt idx="3">
                  <c:v>0.17288744907783204</c:v>
                </c:pt>
                <c:pt idx="4">
                  <c:v>0.16860179604558861</c:v>
                </c:pt>
                <c:pt idx="5">
                  <c:v>0.16135454043351666</c:v>
                </c:pt>
                <c:pt idx="6">
                  <c:v>0.17404347363751155</c:v>
                </c:pt>
                <c:pt idx="7">
                  <c:v>0.17068032704480168</c:v>
                </c:pt>
                <c:pt idx="8">
                  <c:v>0.17774496475316059</c:v>
                </c:pt>
                <c:pt idx="9">
                  <c:v>0.16302488997628445</c:v>
                </c:pt>
                <c:pt idx="10">
                  <c:v>0.16760693353964295</c:v>
                </c:pt>
                <c:pt idx="11">
                  <c:v>0.17176699608831703</c:v>
                </c:pt>
                <c:pt idx="12">
                  <c:v>0.16478394192792839</c:v>
                </c:pt>
                <c:pt idx="13">
                  <c:v>0.1696257776168475</c:v>
                </c:pt>
                <c:pt idx="14">
                  <c:v>0.17523699268261966</c:v>
                </c:pt>
                <c:pt idx="15">
                  <c:v>0.16217909825871624</c:v>
                </c:pt>
                <c:pt idx="16">
                  <c:v>0.16663983565386437</c:v>
                </c:pt>
                <c:pt idx="17">
                  <c:v>0.17068032704480168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4B-4FF2-ABD9-D2270BA45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8716431"/>
        <c:axId val="1858712687"/>
      </c:lineChart>
      <c:catAx>
        <c:axId val="185871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58712687"/>
        <c:crosses val="autoZero"/>
        <c:auto val="1"/>
        <c:lblAlgn val="ctr"/>
        <c:lblOffset val="100"/>
        <c:noMultiLvlLbl val="0"/>
      </c:catAx>
      <c:valAx>
        <c:axId val="1858712687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85871643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14</xdr:row>
      <xdr:rowOff>144780</xdr:rowOff>
    </xdr:from>
    <xdr:to>
      <xdr:col>6</xdr:col>
      <xdr:colOff>60960</xdr:colOff>
      <xdr:row>34</xdr:row>
      <xdr:rowOff>43180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1CAF77-27B0-4D11-B303-180179EC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99060</xdr:colOff>
      <xdr:row>19</xdr:row>
      <xdr:rowOff>60960</xdr:rowOff>
    </xdr:from>
    <xdr:to>
      <xdr:col>14</xdr:col>
      <xdr:colOff>518160</xdr:colOff>
      <xdr:row>38</xdr:row>
      <xdr:rowOff>142240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66316A-E9BE-4941-8872-2ABFEF48C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11</xdr:col>
      <xdr:colOff>449580</xdr:colOff>
      <xdr:row>34</xdr:row>
      <xdr:rowOff>81280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A12EA9-39BB-416A-8567-910E80886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96FE-DF47-4A8E-A495-14078A1B0ABE}">
  <sheetPr codeName="Hoja1"/>
  <dimension ref="A1:M22"/>
  <sheetViews>
    <sheetView tabSelected="1" workbookViewId="0">
      <selection activeCell="I10" sqref="I10"/>
    </sheetView>
  </sheetViews>
  <sheetFormatPr baseColWidth="10" defaultRowHeight="14.4" x14ac:dyDescent="0.3"/>
  <cols>
    <col min="1" max="1" width="79.6640625" bestFit="1" customWidth="1"/>
    <col min="2" max="2" width="10.5546875" bestFit="1" customWidth="1"/>
    <col min="3" max="3" width="9.5546875" bestFit="1" customWidth="1"/>
    <col min="4" max="4" width="9.109375" bestFit="1" customWidth="1"/>
    <col min="5" max="5" width="5.6640625" bestFit="1" customWidth="1"/>
    <col min="6" max="6" width="5.5546875" bestFit="1" customWidth="1"/>
    <col min="7" max="7" width="6.109375" bestFit="1" customWidth="1"/>
    <col min="8" max="8" width="9.109375" bestFit="1" customWidth="1"/>
    <col min="10" max="10" width="25.77734375" customWidth="1"/>
    <col min="13" max="13" width="6.5546875" bestFit="1" customWidth="1"/>
  </cols>
  <sheetData>
    <row r="1" spans="1:13" ht="18" x14ac:dyDescent="0.35">
      <c r="A1" s="1" t="s">
        <v>11</v>
      </c>
    </row>
    <row r="4" spans="1:13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J4" s="4" t="s">
        <v>12</v>
      </c>
      <c r="K4" s="3"/>
      <c r="L4" s="3"/>
      <c r="M4" s="3"/>
    </row>
    <row r="5" spans="1:13" x14ac:dyDescent="0.3">
      <c r="A5">
        <v>1</v>
      </c>
      <c r="B5">
        <v>50</v>
      </c>
      <c r="C5">
        <v>3</v>
      </c>
      <c r="D5" s="7">
        <f>C5/B5</f>
        <v>0.06</v>
      </c>
      <c r="E5" s="7">
        <f>MAX(0, $M$9 - 3 * SQRT($M$9 / B5))</f>
        <v>0</v>
      </c>
      <c r="F5" s="7">
        <f>$M$9</f>
        <v>6.3646170442286945E-2</v>
      </c>
      <c r="G5" s="7">
        <f>$M$9 + 3 * SQRT($M$9 / B5)</f>
        <v>0.17068032704480168</v>
      </c>
      <c r="H5" t="str">
        <f>IF(OR(D5&lt;E5, D5&gt;G5), "FUERA DE CONTROL", "OK")</f>
        <v>OK</v>
      </c>
    </row>
    <row r="6" spans="1:13" x14ac:dyDescent="0.3">
      <c r="A6">
        <v>2</v>
      </c>
      <c r="B6">
        <v>45</v>
      </c>
      <c r="C6">
        <v>2</v>
      </c>
      <c r="D6" s="7">
        <f>C6/B6</f>
        <v>4.4444444444444446E-2</v>
      </c>
      <c r="E6" s="7">
        <f>MAX(0, $M$9 - 3 * SQRT($M$9 / B6))</f>
        <v>0</v>
      </c>
      <c r="F6" s="7">
        <f>$M$9</f>
        <v>6.3646170442286945E-2</v>
      </c>
      <c r="G6" s="7">
        <f>$M$9 + 3 * SQRT($M$9 / B6)</f>
        <v>0.17647007787531899</v>
      </c>
      <c r="H6" t="str">
        <f>IF(OR(D6&lt;E6, D6&gt;G6), "FUERA DE CONTROL", "OK")</f>
        <v>OK</v>
      </c>
      <c r="J6" t="s">
        <v>8</v>
      </c>
      <c r="M6">
        <f>SUM(B5:B22)</f>
        <v>927</v>
      </c>
    </row>
    <row r="7" spans="1:13" x14ac:dyDescent="0.3">
      <c r="A7">
        <v>3</v>
      </c>
      <c r="B7">
        <v>55</v>
      </c>
      <c r="C7">
        <v>4</v>
      </c>
      <c r="D7" s="7">
        <f>C7/B7</f>
        <v>7.2727272727272724E-2</v>
      </c>
      <c r="E7" s="7">
        <f>MAX(0, $M$9 - 3 * SQRT($M$9 / B7))</f>
        <v>0</v>
      </c>
      <c r="F7" s="7">
        <f>$M$9</f>
        <v>6.3646170442286945E-2</v>
      </c>
      <c r="G7" s="7">
        <f>$M$9 + 3 * SQRT($M$9 / B7)</f>
        <v>0.16569923453423885</v>
      </c>
      <c r="H7" t="str">
        <f>IF(OR(D7&lt;E7, D7&gt;G7), "FUERA DE CONTROL", "OK")</f>
        <v>OK</v>
      </c>
      <c r="J7" t="s">
        <v>9</v>
      </c>
      <c r="M7">
        <f>SUM(C5:C22)</f>
        <v>59</v>
      </c>
    </row>
    <row r="8" spans="1:13" x14ac:dyDescent="0.3">
      <c r="A8">
        <v>4</v>
      </c>
      <c r="B8">
        <v>48</v>
      </c>
      <c r="C8">
        <v>3</v>
      </c>
      <c r="D8" s="7">
        <f>C8/B8</f>
        <v>6.25E-2</v>
      </c>
      <c r="E8" s="7">
        <f>MAX(0, $M$9 - 3 * SQRT($M$9 / B8))</f>
        <v>0</v>
      </c>
      <c r="F8" s="7">
        <f>$M$9</f>
        <v>6.3646170442286945E-2</v>
      </c>
      <c r="G8" s="7">
        <f>$M$9 + 3 * SQRT($M$9 / B8)</f>
        <v>0.17288744907783204</v>
      </c>
      <c r="H8" t="str">
        <f>IF(OR(D8&lt;E8, D8&gt;G8), "FUERA DE CONTROL", "OK")</f>
        <v>OK</v>
      </c>
    </row>
    <row r="9" spans="1:13" x14ac:dyDescent="0.3">
      <c r="A9">
        <v>5</v>
      </c>
      <c r="B9">
        <v>52</v>
      </c>
      <c r="C9">
        <v>2</v>
      </c>
      <c r="D9" s="7">
        <f>C9/B9</f>
        <v>3.8461538461538464E-2</v>
      </c>
      <c r="E9" s="7">
        <f>MAX(0, $M$9 - 3 * SQRT($M$9 / B9))</f>
        <v>0</v>
      </c>
      <c r="F9" s="7">
        <f>$M$9</f>
        <v>6.3646170442286945E-2</v>
      </c>
      <c r="G9" s="7">
        <f>$M$9 + 3 * SQRT($M$9 / B9)</f>
        <v>0.16860179604558861</v>
      </c>
      <c r="H9" t="str">
        <f>IF(OR(D9&lt;E9, D9&gt;G9), "FUERA DE CONTROL", "OK")</f>
        <v>OK</v>
      </c>
      <c r="J9" t="s">
        <v>10</v>
      </c>
      <c r="M9" s="5">
        <f>M7/M6</f>
        <v>6.3646170442286945E-2</v>
      </c>
    </row>
    <row r="10" spans="1:13" x14ac:dyDescent="0.3">
      <c r="A10">
        <v>6</v>
      </c>
      <c r="B10">
        <v>60</v>
      </c>
      <c r="C10">
        <v>5</v>
      </c>
      <c r="D10" s="7">
        <f>C10/B10</f>
        <v>8.3333333333333329E-2</v>
      </c>
      <c r="E10" s="7">
        <f>MAX(0, $M$9 - 3 * SQRT($M$9 / B10))</f>
        <v>0</v>
      </c>
      <c r="F10" s="7">
        <f>$M$9</f>
        <v>6.3646170442286945E-2</v>
      </c>
      <c r="G10" s="7">
        <f>$M$9 + 3 * SQRT($M$9 / B10)</f>
        <v>0.16135454043351666</v>
      </c>
      <c r="H10" t="str">
        <f>IF(OR(D10&lt;E10, D10&gt;G10), "FUERA DE CONTROL", "OK")</f>
        <v>OK</v>
      </c>
    </row>
    <row r="11" spans="1:13" x14ac:dyDescent="0.3">
      <c r="A11">
        <v>7</v>
      </c>
      <c r="B11">
        <v>47</v>
      </c>
      <c r="C11">
        <v>3</v>
      </c>
      <c r="D11" s="7">
        <f>C11/B11</f>
        <v>6.3829787234042548E-2</v>
      </c>
      <c r="E11" s="7">
        <f>MAX(0, $M$9 - 3 * SQRT($M$9 / B11))</f>
        <v>0</v>
      </c>
      <c r="F11" s="7">
        <f>$M$9</f>
        <v>6.3646170442286945E-2</v>
      </c>
      <c r="G11" s="7">
        <f>$M$9 + 3 * SQRT($M$9 / B11)</f>
        <v>0.17404347363751155</v>
      </c>
      <c r="H11" t="str">
        <f>IF(OR(D11&lt;E11, D11&gt;G11), "FUERA DE CONTROL", "OK")</f>
        <v>OK</v>
      </c>
      <c r="J11" s="6"/>
      <c r="K11" s="6"/>
      <c r="L11" s="6"/>
      <c r="M11" s="6"/>
    </row>
    <row r="12" spans="1:13" x14ac:dyDescent="0.3">
      <c r="A12">
        <v>8</v>
      </c>
      <c r="B12">
        <v>50</v>
      </c>
      <c r="C12">
        <v>4</v>
      </c>
      <c r="D12" s="7">
        <f>C12/B12</f>
        <v>0.08</v>
      </c>
      <c r="E12" s="7">
        <f>MAX(0, $M$9 - 3 * SQRT($M$9 / B12))</f>
        <v>0</v>
      </c>
      <c r="F12" s="7">
        <f>$M$9</f>
        <v>6.3646170442286945E-2</v>
      </c>
      <c r="G12" s="7">
        <f>$M$9 + 3 * SQRT($M$9 / B12)</f>
        <v>0.17068032704480168</v>
      </c>
      <c r="H12" t="str">
        <f>IF(OR(D12&lt;E12, D12&gt;G12), "FUERA DE CONTROL", "OK")</f>
        <v>OK</v>
      </c>
      <c r="J12" s="6"/>
      <c r="K12" s="6"/>
      <c r="L12" s="6"/>
      <c r="M12" s="6"/>
    </row>
    <row r="13" spans="1:13" x14ac:dyDescent="0.3">
      <c r="A13">
        <v>9</v>
      </c>
      <c r="B13">
        <v>44</v>
      </c>
      <c r="C13">
        <v>2</v>
      </c>
      <c r="D13" s="7">
        <f>C13/B13</f>
        <v>4.5454545454545456E-2</v>
      </c>
      <c r="E13" s="7">
        <f>MAX(0, $M$9 - 3 * SQRT($M$9 / B13))</f>
        <v>0</v>
      </c>
      <c r="F13" s="7">
        <f>$M$9</f>
        <v>6.3646170442286945E-2</v>
      </c>
      <c r="G13" s="7">
        <f>$M$9 + 3 * SQRT($M$9 / B13)</f>
        <v>0.17774496475316059</v>
      </c>
      <c r="H13" t="str">
        <f>IF(OR(D13&lt;E13, D13&gt;G13), "FUERA DE CONTROL", "OK")</f>
        <v>OK</v>
      </c>
      <c r="J13" s="6"/>
      <c r="K13" s="6"/>
      <c r="L13" s="6"/>
      <c r="M13" s="6"/>
    </row>
    <row r="14" spans="1:13" x14ac:dyDescent="0.3">
      <c r="A14">
        <v>10</v>
      </c>
      <c r="B14">
        <v>58</v>
      </c>
      <c r="C14">
        <v>5</v>
      </c>
      <c r="D14" s="7">
        <f>C14/B14</f>
        <v>8.6206896551724144E-2</v>
      </c>
      <c r="E14" s="7">
        <f>MAX(0, $M$9 - 3 * SQRT($M$9 / B14))</f>
        <v>0</v>
      </c>
      <c r="F14" s="7">
        <f>$M$9</f>
        <v>6.3646170442286945E-2</v>
      </c>
      <c r="G14" s="7">
        <f>$M$9 + 3 * SQRT($M$9 / B14)</f>
        <v>0.16302488997628445</v>
      </c>
      <c r="H14" t="str">
        <f>IF(OR(D14&lt;E14, D14&gt;G14), "FUERA DE CONTROL", "OK")</f>
        <v>OK</v>
      </c>
      <c r="J14" s="6"/>
      <c r="K14" s="6"/>
      <c r="L14" s="6"/>
      <c r="M14" s="6"/>
    </row>
    <row r="15" spans="1:13" x14ac:dyDescent="0.3">
      <c r="A15">
        <v>11</v>
      </c>
      <c r="B15">
        <v>53</v>
      </c>
      <c r="C15">
        <v>3</v>
      </c>
      <c r="D15" s="7">
        <f>C15/B15</f>
        <v>5.6603773584905662E-2</v>
      </c>
      <c r="E15" s="7">
        <f>MAX(0, $M$9 - 3 * SQRT($M$9 / B15))</f>
        <v>0</v>
      </c>
      <c r="F15" s="7">
        <f>$M$9</f>
        <v>6.3646170442286945E-2</v>
      </c>
      <c r="G15" s="7">
        <f>$M$9 + 3 * SQRT($M$9 / B15)</f>
        <v>0.16760693353964295</v>
      </c>
      <c r="H15" t="str">
        <f>IF(OR(D15&lt;E15, D15&gt;G15), "FUERA DE CONTROL", "OK")</f>
        <v>OK</v>
      </c>
    </row>
    <row r="16" spans="1:13" x14ac:dyDescent="0.3">
      <c r="A16">
        <v>12</v>
      </c>
      <c r="B16">
        <v>49</v>
      </c>
      <c r="C16">
        <v>2</v>
      </c>
      <c r="D16" s="7">
        <f>C16/B16</f>
        <v>4.0816326530612242E-2</v>
      </c>
      <c r="E16" s="7">
        <f>MAX(0, $M$9 - 3 * SQRT($M$9 / B16))</f>
        <v>0</v>
      </c>
      <c r="F16" s="7">
        <f>$M$9</f>
        <v>6.3646170442286945E-2</v>
      </c>
      <c r="G16" s="7">
        <f>$M$9 + 3 * SQRT($M$9 / B16)</f>
        <v>0.17176699608831703</v>
      </c>
      <c r="H16" t="str">
        <f>IF(OR(D16&lt;E16, D16&gt;G16), "FUERA DE CONTROL", "OK")</f>
        <v>OK</v>
      </c>
    </row>
    <row r="17" spans="1:8" x14ac:dyDescent="0.3">
      <c r="A17">
        <v>13</v>
      </c>
      <c r="B17">
        <v>56</v>
      </c>
      <c r="C17">
        <v>4</v>
      </c>
      <c r="D17" s="7">
        <f>C17/B17</f>
        <v>7.1428571428571425E-2</v>
      </c>
      <c r="E17" s="7">
        <f>MAX(0, $M$9 - 3 * SQRT($M$9 / B17))</f>
        <v>0</v>
      </c>
      <c r="F17" s="7">
        <f>$M$9</f>
        <v>6.3646170442286945E-2</v>
      </c>
      <c r="G17" s="7">
        <f>$M$9 + 3 * SQRT($M$9 / B17)</f>
        <v>0.16478394192792839</v>
      </c>
      <c r="H17" t="str">
        <f>IF(OR(D17&lt;E17, D17&gt;G17), "FUERA DE CONTROL", "OK")</f>
        <v>OK</v>
      </c>
    </row>
    <row r="18" spans="1:8" x14ac:dyDescent="0.3">
      <c r="A18">
        <v>14</v>
      </c>
      <c r="B18">
        <v>51</v>
      </c>
      <c r="C18">
        <v>3</v>
      </c>
      <c r="D18" s="7">
        <f>C18/B18</f>
        <v>5.8823529411764705E-2</v>
      </c>
      <c r="E18" s="7">
        <f>MAX(0, $M$9 - 3 * SQRT($M$9 / B18))</f>
        <v>0</v>
      </c>
      <c r="F18" s="7">
        <f>$M$9</f>
        <v>6.3646170442286945E-2</v>
      </c>
      <c r="G18" s="7">
        <f>$M$9 + 3 * SQRT($M$9 / B18)</f>
        <v>0.1696257776168475</v>
      </c>
      <c r="H18" t="str">
        <f>IF(OR(D18&lt;E18, D18&gt;G18), "FUERA DE CONTROL", "OK")</f>
        <v>OK</v>
      </c>
    </row>
    <row r="19" spans="1:8" x14ac:dyDescent="0.3">
      <c r="A19">
        <v>15</v>
      </c>
      <c r="B19">
        <v>46</v>
      </c>
      <c r="C19">
        <v>2</v>
      </c>
      <c r="D19" s="7">
        <f>C19/B19</f>
        <v>4.3478260869565216E-2</v>
      </c>
      <c r="E19" s="7">
        <f>MAX(0, $M$9 - 3 * SQRT($M$9 / B19))</f>
        <v>0</v>
      </c>
      <c r="F19" s="7">
        <f>$M$9</f>
        <v>6.3646170442286945E-2</v>
      </c>
      <c r="G19" s="7">
        <f>$M$9 + 3 * SQRT($M$9 / B19)</f>
        <v>0.17523699268261966</v>
      </c>
      <c r="H19" t="str">
        <f>IF(OR(D19&lt;E19, D19&gt;G19), "FUERA DE CONTROL", "OK")</f>
        <v>OK</v>
      </c>
    </row>
    <row r="20" spans="1:8" x14ac:dyDescent="0.3">
      <c r="A20">
        <v>16</v>
      </c>
      <c r="B20">
        <v>59</v>
      </c>
      <c r="C20">
        <v>6</v>
      </c>
      <c r="D20" s="7">
        <f>C20/B20</f>
        <v>0.10169491525423729</v>
      </c>
      <c r="E20" s="7">
        <f>MAX(0, $M$9 - 3 * SQRT($M$9 / B20))</f>
        <v>0</v>
      </c>
      <c r="F20" s="7">
        <f>$M$9</f>
        <v>6.3646170442286945E-2</v>
      </c>
      <c r="G20" s="7">
        <f>$M$9 + 3 * SQRT($M$9 / B20)</f>
        <v>0.16217909825871624</v>
      </c>
      <c r="H20" t="str">
        <f>IF(OR(D20&lt;E20, D20&gt;G20), "FUERA DE CONTROL", "OK")</f>
        <v>OK</v>
      </c>
    </row>
    <row r="21" spans="1:8" x14ac:dyDescent="0.3">
      <c r="A21">
        <v>17</v>
      </c>
      <c r="B21">
        <v>54</v>
      </c>
      <c r="C21">
        <v>3</v>
      </c>
      <c r="D21" s="7">
        <f>C21/B21</f>
        <v>5.5555555555555552E-2</v>
      </c>
      <c r="E21" s="7">
        <f>MAX(0, $M$9 - 3 * SQRT($M$9 / B21))</f>
        <v>0</v>
      </c>
      <c r="F21" s="7">
        <f>$M$9</f>
        <v>6.3646170442286945E-2</v>
      </c>
      <c r="G21" s="7">
        <f>$M$9 + 3 * SQRT($M$9 / B21)</f>
        <v>0.16663983565386437</v>
      </c>
      <c r="H21" t="str">
        <f>IF(OR(D21&lt;E21, D21&gt;G21), "FUERA DE CONTROL", "OK")</f>
        <v>OK</v>
      </c>
    </row>
    <row r="22" spans="1:8" x14ac:dyDescent="0.3">
      <c r="A22">
        <v>18</v>
      </c>
      <c r="B22">
        <v>50</v>
      </c>
      <c r="C22">
        <v>3</v>
      </c>
      <c r="D22" s="7">
        <f>C22/B22</f>
        <v>0.06</v>
      </c>
      <c r="E22" s="7">
        <f>MAX(0, $M$9 - 3 * SQRT($M$9 / B22))</f>
        <v>0</v>
      </c>
      <c r="F22" s="7">
        <f>$M$9</f>
        <v>6.3646170442286945E-2</v>
      </c>
      <c r="G22" s="7">
        <f>$M$9 + 3 * SQRT($M$9 / B22)</f>
        <v>0.17068032704480168</v>
      </c>
      <c r="H22" t="str">
        <f>IF(OR(D22&lt;E22, D22&gt;G22), "FUERA DE CONTROL", "OK")</f>
        <v>OK</v>
      </c>
    </row>
  </sheetData>
  <mergeCells count="2">
    <mergeCell ref="J4:M4"/>
    <mergeCell ref="J11:M14"/>
  </mergeCells>
  <conditionalFormatting sqref="H5:H22">
    <cfRule type="cellIs" dxfId="0" priority="1" stopIfTrue="1" operator="equal">
      <formula>"FUERA DE CONTROL"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2026-07-04T15:27:16Z</dcterms:created>
  <dcterms:modified xsi:type="dcterms:W3CDTF">2026-07-04T16:09:14Z</dcterms:modified>
</cp:coreProperties>
</file>