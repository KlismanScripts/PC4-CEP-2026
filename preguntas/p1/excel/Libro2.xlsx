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UNI 26-1\CONTROL ESTADISTICO DE PROCESOS\pc4\PC4-CEP-2026\preguntas\p1\excel\"/>
    </mc:Choice>
  </mc:AlternateContent>
  <xr:revisionPtr revIDLastSave="0" documentId="8_{2AA8101B-8DEC-4F7F-A639-C717F0AF7E27}" xr6:coauthVersionLast="47" xr6:coauthVersionMax="47" xr10:uidLastSave="{00000000-0000-0000-0000-000000000000}"/>
  <bookViews>
    <workbookView xWindow="-108" yWindow="-108" windowWidth="23256" windowHeight="12456" xr2:uid="{53C3FE1C-D233-44F3-9618-A75B48EC24BA}"/>
  </bookViews>
  <sheets>
    <sheet name="Tutorial_CEP_Mentor07473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2" l="1"/>
  <c r="J19" i="2"/>
  <c r="I19" i="2"/>
  <c r="H19" i="2"/>
  <c r="G19" i="2"/>
  <c r="F19" i="2"/>
  <c r="E19" i="2"/>
  <c r="K18" i="2"/>
  <c r="J18" i="2"/>
  <c r="I18" i="2"/>
  <c r="H18" i="2"/>
  <c r="G18" i="2"/>
  <c r="F18" i="2"/>
  <c r="E18" i="2"/>
  <c r="K17" i="2"/>
  <c r="J17" i="2"/>
  <c r="I17" i="2"/>
  <c r="H17" i="2"/>
  <c r="G17" i="2"/>
  <c r="F17" i="2"/>
  <c r="E17" i="2"/>
  <c r="K16" i="2"/>
  <c r="J16" i="2"/>
  <c r="I16" i="2"/>
  <c r="H16" i="2"/>
  <c r="G16" i="2"/>
  <c r="F16" i="2"/>
  <c r="E16" i="2"/>
  <c r="K15" i="2"/>
  <c r="J15" i="2"/>
  <c r="I15" i="2"/>
  <c r="H15" i="2"/>
  <c r="G15" i="2"/>
  <c r="F15" i="2"/>
  <c r="E15" i="2"/>
  <c r="K14" i="2"/>
  <c r="J14" i="2"/>
  <c r="I14" i="2"/>
  <c r="H14" i="2"/>
  <c r="G14" i="2"/>
  <c r="F14" i="2"/>
  <c r="E14" i="2"/>
  <c r="K13" i="2"/>
  <c r="J13" i="2"/>
  <c r="I13" i="2"/>
  <c r="H13" i="2"/>
  <c r="G13" i="2"/>
  <c r="F13" i="2"/>
  <c r="E13" i="2"/>
  <c r="K12" i="2"/>
  <c r="J12" i="2"/>
  <c r="I12" i="2"/>
  <c r="H12" i="2"/>
  <c r="G12" i="2"/>
  <c r="F12" i="2"/>
  <c r="E12" i="2"/>
  <c r="K11" i="2"/>
  <c r="J11" i="2"/>
  <c r="I11" i="2"/>
  <c r="H11" i="2"/>
  <c r="G11" i="2"/>
  <c r="F11" i="2"/>
  <c r="E11" i="2"/>
  <c r="K10" i="2"/>
  <c r="J10" i="2"/>
  <c r="I10" i="2"/>
  <c r="H10" i="2"/>
  <c r="G10" i="2"/>
  <c r="F10" i="2"/>
  <c r="E10" i="2"/>
  <c r="K9" i="2"/>
  <c r="J9" i="2"/>
  <c r="I9" i="2"/>
  <c r="H9" i="2"/>
  <c r="G9" i="2"/>
  <c r="F9" i="2"/>
  <c r="E9" i="2"/>
  <c r="K8" i="2"/>
  <c r="J8" i="2"/>
  <c r="I8" i="2"/>
  <c r="H8" i="2"/>
  <c r="G8" i="2"/>
  <c r="F8" i="2"/>
  <c r="E8" i="2"/>
  <c r="K7" i="2"/>
  <c r="J7" i="2"/>
  <c r="I7" i="2"/>
  <c r="H7" i="2"/>
  <c r="G7" i="2"/>
  <c r="F7" i="2"/>
  <c r="E7" i="2"/>
  <c r="K6" i="2"/>
  <c r="J6" i="2"/>
  <c r="I6" i="2"/>
  <c r="H6" i="2"/>
  <c r="G6" i="2"/>
  <c r="F6" i="2"/>
  <c r="E6" i="2"/>
  <c r="K5" i="2"/>
  <c r="J5" i="2"/>
  <c r="I5" i="2"/>
  <c r="H5" i="2"/>
  <c r="G5" i="2"/>
  <c r="F5" i="2"/>
  <c r="E5" i="2"/>
  <c r="K4" i="2"/>
  <c r="J4" i="2"/>
  <c r="I4" i="2"/>
  <c r="H4" i="2"/>
  <c r="G4" i="2"/>
  <c r="F4" i="2"/>
  <c r="E4" i="2"/>
  <c r="B25" i="2"/>
  <c r="B24" i="2"/>
  <c r="B23" i="2"/>
  <c r="B22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<sst xmlns="http://schemas.openxmlformats.org/spreadsheetml/2006/main" count="24" uniqueCount="24">
  <si>
    <t>ANÁLISIS CEP: GRÁFICAS p Y np (EVALUACIÓN CONJUNTA)</t>
  </si>
  <si>
    <t>NOTAS DEL MENTOR:</t>
  </si>
  <si>
    <t>1. Gráfica p (Proporción):</t>
  </si>
  <si>
    <t>Evalúa la fracción de unidades defectuosas. Sus límites se basan en la distribución Binomial. Al dividir entre 'n', estabiliza la escala a porcentajes (0 a 1).</t>
  </si>
  <si>
    <t>2. Gráfica np (Número de defectuosos):</t>
  </si>
  <si>
    <t>Al tener n=100 (constante), se recomienda analizar 'np' junto con 'p'. La gráfica np es más intuitiva para los operadores del piso de producción ya que cuenta piezas físicas reales y no fracciones.</t>
  </si>
  <si>
    <t>3. Cálculo de Límites:</t>
  </si>
  <si>
    <t>Se usa +/- 3 desviaciones estándar (Sigma). Para 'p', Sigma = Raíz(p*(1-p)/n). Si el Límite Inferior (LCI) resulta negativo, se ajusta a 0, ya que físicamente no existen defectos negativos.</t>
  </si>
  <si>
    <t>Muestra</t>
  </si>
  <si>
    <t>Tamaño (n)</t>
  </si>
  <si>
    <t>Defectuosas (np)</t>
  </si>
  <si>
    <t>Prop. Defectuosa (p)</t>
  </si>
  <si>
    <t>LC_p</t>
  </si>
  <si>
    <t>LCS_p</t>
  </si>
  <si>
    <t>LCI_p</t>
  </si>
  <si>
    <t>LC_np</t>
  </si>
  <si>
    <t>LCS_np</t>
  </si>
  <si>
    <t>LCI_np</t>
  </si>
  <si>
    <t>Veredicto</t>
  </si>
  <si>
    <t>CÁLCULOS GLOBALES:</t>
  </si>
  <si>
    <t>Total Defectuosas:</t>
  </si>
  <si>
    <t>Total Inspeccionadas:</t>
  </si>
  <si>
    <t>p promedio (LC_p):</t>
  </si>
  <si>
    <t>np promedio (LC_np):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</si>
</sst>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4" borderId="0" xfId="0" applyFont="1" applyFill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Gráfica de Control p (Proporción)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Proporción (p)</c:v>
          </c:tx>
          <c:marker>
            <c:symbol val="circle"/>
            <c:size val="5"/>
          </c:marker>
          <c:cat>
            <c:numRef>
              <c:f>Tutorial_CEP_Mentor074732!$A$4:$A$19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Tutorial_CEP_Mentor074732!$D$4:$D$19</c:f>
              <c:numCache>
                <c:formatCode>0.000</c:formatCode>
                <c:ptCount val="16"/>
                <c:pt idx="0">
                  <c:v>0.08</c:v>
                </c:pt>
                <c:pt idx="1">
                  <c:v>0.14000000000000001</c:v>
                </c:pt>
                <c:pt idx="2">
                  <c:v>0.16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0.2</c:v>
                </c:pt>
                <c:pt idx="6">
                  <c:v>0.19</c:v>
                </c:pt>
                <c:pt idx="7">
                  <c:v>0.12</c:v>
                </c:pt>
                <c:pt idx="8">
                  <c:v>0.17</c:v>
                </c:pt>
                <c:pt idx="9">
                  <c:v>0.06</c:v>
                </c:pt>
                <c:pt idx="10">
                  <c:v>0.1</c:v>
                </c:pt>
                <c:pt idx="11">
                  <c:v>0.15</c:v>
                </c:pt>
                <c:pt idx="12">
                  <c:v>0.09</c:v>
                </c:pt>
                <c:pt idx="13">
                  <c:v>0.17</c:v>
                </c:pt>
                <c:pt idx="14">
                  <c:v>0.13</c:v>
                </c:pt>
                <c:pt idx="1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C-4188-9BBA-E74DA78DDA54}"/>
            </c:ext>
          </c:extLst>
        </c:ser>
        <c:ser>
          <c:idx val="1"/>
          <c:order val="1"/>
          <c:tx>
            <c:v>Línea Central (LC)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Tutorial_CEP_Mentor074732!$E$4:$E$19</c:f>
              <c:numCache>
                <c:formatCode>0.000</c:formatCode>
                <c:ptCount val="16"/>
                <c:pt idx="0">
                  <c:v>0.13500000000000001</c:v>
                </c:pt>
                <c:pt idx="1">
                  <c:v>0.13500000000000001</c:v>
                </c:pt>
                <c:pt idx="2">
                  <c:v>0.13500000000000001</c:v>
                </c:pt>
                <c:pt idx="3">
                  <c:v>0.13500000000000001</c:v>
                </c:pt>
                <c:pt idx="4">
                  <c:v>0.13500000000000001</c:v>
                </c:pt>
                <c:pt idx="5">
                  <c:v>0.13500000000000001</c:v>
                </c:pt>
                <c:pt idx="6">
                  <c:v>0.13500000000000001</c:v>
                </c:pt>
                <c:pt idx="7">
                  <c:v>0.13500000000000001</c:v>
                </c:pt>
                <c:pt idx="8">
                  <c:v>0.13500000000000001</c:v>
                </c:pt>
                <c:pt idx="9">
                  <c:v>0.13500000000000001</c:v>
                </c:pt>
                <c:pt idx="10">
                  <c:v>0.13500000000000001</c:v>
                </c:pt>
                <c:pt idx="11">
                  <c:v>0.13500000000000001</c:v>
                </c:pt>
                <c:pt idx="12">
                  <c:v>0.13500000000000001</c:v>
                </c:pt>
                <c:pt idx="13">
                  <c:v>0.13500000000000001</c:v>
                </c:pt>
                <c:pt idx="14">
                  <c:v>0.13500000000000001</c:v>
                </c:pt>
                <c:pt idx="15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7C-4188-9BBA-E74DA78DDA54}"/>
            </c:ext>
          </c:extLst>
        </c:ser>
        <c:ser>
          <c:idx val="2"/>
          <c:order val="2"/>
          <c:tx>
            <c:v>LCS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val>
            <c:numRef>
              <c:f>Tutorial_CEP_Mentor074732!$F$4:$F$19</c:f>
              <c:numCache>
                <c:formatCode>0.000</c:formatCode>
                <c:ptCount val="16"/>
                <c:pt idx="0">
                  <c:v>0.23751707174905068</c:v>
                </c:pt>
                <c:pt idx="1">
                  <c:v>0.23751707174905068</c:v>
                </c:pt>
                <c:pt idx="2">
                  <c:v>0.23751707174905068</c:v>
                </c:pt>
                <c:pt idx="3">
                  <c:v>0.23751707174905068</c:v>
                </c:pt>
                <c:pt idx="4">
                  <c:v>0.23751707174905068</c:v>
                </c:pt>
                <c:pt idx="5">
                  <c:v>0.23751707174905068</c:v>
                </c:pt>
                <c:pt idx="6">
                  <c:v>0.23751707174905068</c:v>
                </c:pt>
                <c:pt idx="7">
                  <c:v>0.23751707174905068</c:v>
                </c:pt>
                <c:pt idx="8">
                  <c:v>0.23751707174905068</c:v>
                </c:pt>
                <c:pt idx="9">
                  <c:v>0.23751707174905068</c:v>
                </c:pt>
                <c:pt idx="10">
                  <c:v>0.23751707174905068</c:v>
                </c:pt>
                <c:pt idx="11">
                  <c:v>0.23751707174905068</c:v>
                </c:pt>
                <c:pt idx="12">
                  <c:v>0.23751707174905068</c:v>
                </c:pt>
                <c:pt idx="13">
                  <c:v>0.23751707174905068</c:v>
                </c:pt>
                <c:pt idx="14">
                  <c:v>0.23751707174905068</c:v>
                </c:pt>
                <c:pt idx="15">
                  <c:v>0.23751707174905068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7C-4188-9BBA-E74DA78DDA54}"/>
            </c:ext>
          </c:extLst>
        </c:ser>
        <c:ser>
          <c:idx val="3"/>
          <c:order val="3"/>
          <c:tx>
            <c:v>LCI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val>
            <c:numRef>
              <c:f>Tutorial_CEP_Mentor074732!$G$4:$G$19</c:f>
              <c:numCache>
                <c:formatCode>0.000</c:formatCode>
                <c:ptCount val="16"/>
                <c:pt idx="0">
                  <c:v>3.2482928250949353E-2</c:v>
                </c:pt>
                <c:pt idx="1">
                  <c:v>3.2482928250949353E-2</c:v>
                </c:pt>
                <c:pt idx="2">
                  <c:v>3.2482928250949353E-2</c:v>
                </c:pt>
                <c:pt idx="3">
                  <c:v>3.2482928250949353E-2</c:v>
                </c:pt>
                <c:pt idx="4">
                  <c:v>3.2482928250949353E-2</c:v>
                </c:pt>
                <c:pt idx="5">
                  <c:v>3.2482928250949353E-2</c:v>
                </c:pt>
                <c:pt idx="6">
                  <c:v>3.2482928250949353E-2</c:v>
                </c:pt>
                <c:pt idx="7">
                  <c:v>3.2482928250949353E-2</c:v>
                </c:pt>
                <c:pt idx="8">
                  <c:v>3.2482928250949353E-2</c:v>
                </c:pt>
                <c:pt idx="9">
                  <c:v>3.2482928250949353E-2</c:v>
                </c:pt>
                <c:pt idx="10">
                  <c:v>3.2482928250949353E-2</c:v>
                </c:pt>
                <c:pt idx="11">
                  <c:v>3.2482928250949353E-2</c:v>
                </c:pt>
                <c:pt idx="12">
                  <c:v>3.2482928250949353E-2</c:v>
                </c:pt>
                <c:pt idx="13">
                  <c:v>3.2482928250949353E-2</c:v>
                </c:pt>
                <c:pt idx="14">
                  <c:v>3.2482928250949353E-2</c:v>
                </c:pt>
                <c:pt idx="15">
                  <c:v>3.2482928250949353E-2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7C-4188-9BBA-E74DA78D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532463"/>
        <c:axId val="522533295"/>
      </c:lineChart>
      <c:catAx>
        <c:axId val="522532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2533295"/>
        <c:crosses val="autoZero"/>
        <c:auto val="1"/>
        <c:lblAlgn val="ctr"/>
        <c:lblOffset val="100"/>
        <c:noMultiLvlLbl val="0"/>
      </c:catAx>
      <c:valAx>
        <c:axId val="522533295"/>
        <c:scaling>
          <c:orientation val="minMax"/>
          <c:min val="0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52253246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Gráfica de Control np (Conteo de Defectos)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Piezas Defectuosas (np)</c:v>
          </c:tx>
          <c:marker>
            <c:symbol val="circle"/>
            <c:size val="5"/>
          </c:marker>
          <c:cat>
            <c:numRef>
              <c:f>Tutorial_CEP_Mentor074732!$A$4:$A$19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Tutorial_CEP_Mentor074732!$C$4:$C$19</c:f>
              <c:numCache>
                <c:formatCode>General</c:formatCode>
                <c:ptCount val="16"/>
                <c:pt idx="0">
                  <c:v>8</c:v>
                </c:pt>
                <c:pt idx="1">
                  <c:v>14</c:v>
                </c:pt>
                <c:pt idx="2">
                  <c:v>16</c:v>
                </c:pt>
                <c:pt idx="3">
                  <c:v>14</c:v>
                </c:pt>
                <c:pt idx="4">
                  <c:v>15</c:v>
                </c:pt>
                <c:pt idx="5">
                  <c:v>20</c:v>
                </c:pt>
                <c:pt idx="6">
                  <c:v>19</c:v>
                </c:pt>
                <c:pt idx="7">
                  <c:v>12</c:v>
                </c:pt>
                <c:pt idx="8">
                  <c:v>17</c:v>
                </c:pt>
                <c:pt idx="9">
                  <c:v>6</c:v>
                </c:pt>
                <c:pt idx="10">
                  <c:v>10</c:v>
                </c:pt>
                <c:pt idx="11">
                  <c:v>15</c:v>
                </c:pt>
                <c:pt idx="12">
                  <c:v>9</c:v>
                </c:pt>
                <c:pt idx="13">
                  <c:v>17</c:v>
                </c:pt>
                <c:pt idx="14">
                  <c:v>13</c:v>
                </c:pt>
                <c:pt idx="1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F-4CC7-88F6-EACA083480B8}"/>
            </c:ext>
          </c:extLst>
        </c:ser>
        <c:ser>
          <c:idx val="1"/>
          <c:order val="1"/>
          <c:tx>
            <c:v>Línea Central (LC)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Tutorial_CEP_Mentor074732!$H$4:$H$19</c:f>
              <c:numCache>
                <c:formatCode>0.00</c:formatCode>
                <c:ptCount val="16"/>
                <c:pt idx="0">
                  <c:v>13.5</c:v>
                </c:pt>
                <c:pt idx="1">
                  <c:v>13.5</c:v>
                </c:pt>
                <c:pt idx="2">
                  <c:v>13.5</c:v>
                </c:pt>
                <c:pt idx="3">
                  <c:v>13.5</c:v>
                </c:pt>
                <c:pt idx="4">
                  <c:v>13.5</c:v>
                </c:pt>
                <c:pt idx="5">
                  <c:v>13.5</c:v>
                </c:pt>
                <c:pt idx="6">
                  <c:v>13.5</c:v>
                </c:pt>
                <c:pt idx="7">
                  <c:v>13.5</c:v>
                </c:pt>
                <c:pt idx="8">
                  <c:v>13.5</c:v>
                </c:pt>
                <c:pt idx="9">
                  <c:v>13.5</c:v>
                </c:pt>
                <c:pt idx="10">
                  <c:v>13.5</c:v>
                </c:pt>
                <c:pt idx="11">
                  <c:v>13.5</c:v>
                </c:pt>
                <c:pt idx="12">
                  <c:v>13.5</c:v>
                </c:pt>
                <c:pt idx="13">
                  <c:v>13.5</c:v>
                </c:pt>
                <c:pt idx="14">
                  <c:v>13.5</c:v>
                </c:pt>
                <c:pt idx="15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F-4CC7-88F6-EACA083480B8}"/>
            </c:ext>
          </c:extLst>
        </c:ser>
        <c:ser>
          <c:idx val="2"/>
          <c:order val="2"/>
          <c:tx>
            <c:v>LCS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val>
            <c:numRef>
              <c:f>Tutorial_CEP_Mentor074732!$I$4:$I$19</c:f>
              <c:numCache>
                <c:formatCode>0.00</c:formatCode>
                <c:ptCount val="16"/>
                <c:pt idx="0">
                  <c:v>23.751707174905064</c:v>
                </c:pt>
                <c:pt idx="1">
                  <c:v>23.751707174905064</c:v>
                </c:pt>
                <c:pt idx="2">
                  <c:v>23.751707174905064</c:v>
                </c:pt>
                <c:pt idx="3">
                  <c:v>23.751707174905064</c:v>
                </c:pt>
                <c:pt idx="4">
                  <c:v>23.751707174905064</c:v>
                </c:pt>
                <c:pt idx="5">
                  <c:v>23.751707174905064</c:v>
                </c:pt>
                <c:pt idx="6">
                  <c:v>23.751707174905064</c:v>
                </c:pt>
                <c:pt idx="7">
                  <c:v>23.751707174905064</c:v>
                </c:pt>
                <c:pt idx="8">
                  <c:v>23.751707174905064</c:v>
                </c:pt>
                <c:pt idx="9">
                  <c:v>23.751707174905064</c:v>
                </c:pt>
                <c:pt idx="10">
                  <c:v>23.751707174905064</c:v>
                </c:pt>
                <c:pt idx="11">
                  <c:v>23.751707174905064</c:v>
                </c:pt>
                <c:pt idx="12">
                  <c:v>23.751707174905064</c:v>
                </c:pt>
                <c:pt idx="13">
                  <c:v>23.751707174905064</c:v>
                </c:pt>
                <c:pt idx="14">
                  <c:v>23.751707174905064</c:v>
                </c:pt>
                <c:pt idx="15">
                  <c:v>23.751707174905064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3F-4CC7-88F6-EACA083480B8}"/>
            </c:ext>
          </c:extLst>
        </c:ser>
        <c:ser>
          <c:idx val="3"/>
          <c:order val="3"/>
          <c:tx>
            <c:v>LCI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val>
            <c:numRef>
              <c:f>Tutorial_CEP_Mentor074732!$J$4:$J$19</c:f>
              <c:numCache>
                <c:formatCode>0.00</c:formatCode>
                <c:ptCount val="16"/>
                <c:pt idx="0">
                  <c:v>3.2482928250949339</c:v>
                </c:pt>
                <c:pt idx="1">
                  <c:v>3.2482928250949339</c:v>
                </c:pt>
                <c:pt idx="2">
                  <c:v>3.2482928250949339</c:v>
                </c:pt>
                <c:pt idx="3">
                  <c:v>3.2482928250949339</c:v>
                </c:pt>
                <c:pt idx="4">
                  <c:v>3.2482928250949339</c:v>
                </c:pt>
                <c:pt idx="5">
                  <c:v>3.2482928250949339</c:v>
                </c:pt>
                <c:pt idx="6">
                  <c:v>3.2482928250949339</c:v>
                </c:pt>
                <c:pt idx="7">
                  <c:v>3.2482928250949339</c:v>
                </c:pt>
                <c:pt idx="8">
                  <c:v>3.2482928250949339</c:v>
                </c:pt>
                <c:pt idx="9">
                  <c:v>3.2482928250949339</c:v>
                </c:pt>
                <c:pt idx="10">
                  <c:v>3.2482928250949339</c:v>
                </c:pt>
                <c:pt idx="11">
                  <c:v>3.2482928250949339</c:v>
                </c:pt>
                <c:pt idx="12">
                  <c:v>3.2482928250949339</c:v>
                </c:pt>
                <c:pt idx="13">
                  <c:v>3.2482928250949339</c:v>
                </c:pt>
                <c:pt idx="14">
                  <c:v>3.2482928250949339</c:v>
                </c:pt>
                <c:pt idx="15">
                  <c:v>3.2482928250949339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3F-4CC7-88F6-EACA08348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516655"/>
        <c:axId val="522519151"/>
      </c:lineChart>
      <c:catAx>
        <c:axId val="522516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2519151"/>
        <c:crosses val="autoZero"/>
        <c:auto val="1"/>
        <c:lblAlgn val="ctr"/>
        <c:lblOffset val="100"/>
        <c:noMultiLvlLbl val="0"/>
      </c:catAx>
      <c:valAx>
        <c:axId val="522519151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251665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182879</xdr:rowOff>
    </xdr:from>
    <xdr:to>
      <xdr:col>6</xdr:col>
      <xdr:colOff>325120</xdr:colOff>
      <xdr:row>43</xdr:row>
      <xdr:rowOff>66039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1944A7-F30C-4676-82E7-EAA024A55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182879</xdr:rowOff>
    </xdr:from>
    <xdr:to>
      <xdr:col>13</xdr:col>
      <xdr:colOff>325120</xdr:colOff>
      <xdr:row>43</xdr:row>
      <xdr:rowOff>66039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94AA0A-CB0B-4FDE-BE65-427E5BF87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741C-823F-4DF6-8822-54F71C828EF6}">
  <sheetPr codeName="Hoja2"/>
  <dimension ref="A1:P25"/>
  <sheetViews>
    <sheetView tabSelected="1" workbookViewId="0">
      <selection activeCell="M2" sqref="M2:P2"/>
    </sheetView>
  </sheetViews>
  <sheetFormatPr baseColWidth="10" defaultRowHeight="14.4" x14ac:dyDescent="0.3"/>
  <cols>
    <col min="1" max="1" width="19.6640625" bestFit="1" customWidth="1"/>
    <col min="2" max="2" width="10.77734375" bestFit="1" customWidth="1"/>
    <col min="3" max="3" width="15.21875" bestFit="1" customWidth="1"/>
    <col min="4" max="4" width="18.44140625" bestFit="1" customWidth="1"/>
    <col min="5" max="5" width="5.5546875" bestFit="1" customWidth="1"/>
    <col min="6" max="6" width="6.109375" bestFit="1" customWidth="1"/>
    <col min="7" max="7" width="5.6640625" bestFit="1" customWidth="1"/>
    <col min="8" max="8" width="6.21875" bestFit="1" customWidth="1"/>
    <col min="9" max="9" width="7.21875" bestFit="1" customWidth="1"/>
    <col min="10" max="10" width="6.77734375" bestFit="1" customWidth="1"/>
    <col min="11" max="11" width="9.109375" bestFit="1" customWidth="1"/>
  </cols>
  <sheetData>
    <row r="1" spans="1:16" ht="18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3">
      <c r="M2" s="3" t="s">
        <v>1</v>
      </c>
      <c r="N2" s="1"/>
      <c r="O2" s="1"/>
      <c r="P2" s="1"/>
    </row>
    <row r="3" spans="1:16" ht="43.2" customHeight="1" x14ac:dyDescent="0.3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M3" s="5" t="s">
        <v>2</v>
      </c>
      <c r="N3" s="5"/>
      <c r="O3" s="5"/>
      <c r="P3" s="5"/>
    </row>
    <row r="4" spans="1:16" x14ac:dyDescent="0.3">
      <c r="A4">
        <v>1</v>
      </c>
      <c r="B4">
        <v>100</v>
      </c>
      <c r="C4">
        <v>8</v>
      </c>
      <c r="D4" s="8">
        <f>C4/B4</f>
        <v>0.08</v>
      </c>
      <c r="E4" s="8">
        <f>$B$24</f>
        <v>0.13500000000000001</v>
      </c>
      <c r="F4" s="8">
        <f>$B$24 + 3 * SQRT(($B$24*(1-$B$24))/B4)</f>
        <v>0.23751707174905068</v>
      </c>
      <c r="G4" s="8">
        <f>MAX(0, $B$24 - 3 * SQRT(($B$24*(1-$B$24))/B4))</f>
        <v>3.2482928250949353E-2</v>
      </c>
      <c r="H4" s="9">
        <f>$B$25</f>
        <v>13.5</v>
      </c>
      <c r="I4" s="9">
        <f>$B$25 + 3 * SQRT($B$25*(1-$B$24))</f>
        <v>23.751707174905064</v>
      </c>
      <c r="J4" s="9">
        <f>MAX(0, $B$25 - 3 * SQRT($B$25*(1-$B$24)))</f>
        <v>3.2482928250949339</v>
      </c>
      <c r="K4" t="str">
        <f>IF(OR(C4&gt;I4, C4&lt;J4), "FUERA DE CONTROL", "OK")</f>
        <v>OK</v>
      </c>
      <c r="M4" s="5" t="s">
        <v>3</v>
      </c>
      <c r="N4" s="5"/>
      <c r="O4" s="5"/>
      <c r="P4" s="5"/>
    </row>
    <row r="5" spans="1:16" x14ac:dyDescent="0.3">
      <c r="A5">
        <v>2</v>
      </c>
      <c r="B5">
        <v>100</v>
      </c>
      <c r="C5">
        <v>14</v>
      </c>
      <c r="D5" s="8">
        <f>C5/B5</f>
        <v>0.14000000000000001</v>
      </c>
      <c r="E5" s="8">
        <f>$B$24</f>
        <v>0.13500000000000001</v>
      </c>
      <c r="F5" s="8">
        <f>$B$24 + 3 * SQRT(($B$24*(1-$B$24))/B5)</f>
        <v>0.23751707174905068</v>
      </c>
      <c r="G5" s="8">
        <f>MAX(0, $B$24 - 3 * SQRT(($B$24*(1-$B$24))/B5))</f>
        <v>3.2482928250949353E-2</v>
      </c>
      <c r="H5" s="9">
        <f>$B$25</f>
        <v>13.5</v>
      </c>
      <c r="I5" s="9">
        <f>$B$25 + 3 * SQRT($B$25*(1-$B$24))</f>
        <v>23.751707174905064</v>
      </c>
      <c r="J5" s="9">
        <f>MAX(0, $B$25 - 3 * SQRT($B$25*(1-$B$24)))</f>
        <v>3.2482928250949339</v>
      </c>
      <c r="K5" t="str">
        <f>IF(OR(C5&gt;I5, C5&lt;J5), "FUERA DE CONTROL", "OK")</f>
        <v>OK</v>
      </c>
      <c r="M5" s="4"/>
      <c r="N5" s="4"/>
      <c r="O5" s="4"/>
      <c r="P5" s="4"/>
    </row>
    <row r="6" spans="1:16" x14ac:dyDescent="0.3">
      <c r="A6">
        <v>3</v>
      </c>
      <c r="B6">
        <v>100</v>
      </c>
      <c r="C6">
        <v>16</v>
      </c>
      <c r="D6" s="8">
        <f>C6/B6</f>
        <v>0.16</v>
      </c>
      <c r="E6" s="8">
        <f>$B$24</f>
        <v>0.13500000000000001</v>
      </c>
      <c r="F6" s="8">
        <f>$B$24 + 3 * SQRT(($B$24*(1-$B$24))/B6)</f>
        <v>0.23751707174905068</v>
      </c>
      <c r="G6" s="8">
        <f>MAX(0, $B$24 - 3 * SQRT(($B$24*(1-$B$24))/B6))</f>
        <v>3.2482928250949353E-2</v>
      </c>
      <c r="H6" s="9">
        <f>$B$25</f>
        <v>13.5</v>
      </c>
      <c r="I6" s="9">
        <f>$B$25 + 3 * SQRT($B$25*(1-$B$24))</f>
        <v>23.751707174905064</v>
      </c>
      <c r="J6" s="9">
        <f>MAX(0, $B$25 - 3 * SQRT($B$25*(1-$B$24)))</f>
        <v>3.2482928250949339</v>
      </c>
      <c r="K6" t="str">
        <f>IF(OR(C6&gt;I6, C6&lt;J6), "FUERA DE CONTROL", "OK")</f>
        <v>OK</v>
      </c>
      <c r="M6" s="5" t="s">
        <v>4</v>
      </c>
      <c r="N6" s="5"/>
      <c r="O6" s="5"/>
      <c r="P6" s="5"/>
    </row>
    <row r="7" spans="1:16" x14ac:dyDescent="0.3">
      <c r="A7">
        <v>4</v>
      </c>
      <c r="B7">
        <v>100</v>
      </c>
      <c r="C7">
        <v>14</v>
      </c>
      <c r="D7" s="8">
        <f>C7/B7</f>
        <v>0.14000000000000001</v>
      </c>
      <c r="E7" s="8">
        <f>$B$24</f>
        <v>0.13500000000000001</v>
      </c>
      <c r="F7" s="8">
        <f>$B$24 + 3 * SQRT(($B$24*(1-$B$24))/B7)</f>
        <v>0.23751707174905068</v>
      </c>
      <c r="G7" s="8">
        <f>MAX(0, $B$24 - 3 * SQRT(($B$24*(1-$B$24))/B7))</f>
        <v>3.2482928250949353E-2</v>
      </c>
      <c r="H7" s="9">
        <f>$B$25</f>
        <v>13.5</v>
      </c>
      <c r="I7" s="9">
        <f>$B$25 + 3 * SQRT($B$25*(1-$B$24))</f>
        <v>23.751707174905064</v>
      </c>
      <c r="J7" s="9">
        <f>MAX(0, $B$25 - 3 * SQRT($B$25*(1-$B$24)))</f>
        <v>3.2482928250949339</v>
      </c>
      <c r="K7" t="str">
        <f>IF(OR(C7&gt;I7, C7&lt;J7), "FUERA DE CONTROL", "OK")</f>
        <v>OK</v>
      </c>
      <c r="M7" s="5" t="s">
        <v>5</v>
      </c>
      <c r="N7" s="5"/>
      <c r="O7" s="5"/>
      <c r="P7" s="5"/>
    </row>
    <row r="8" spans="1:16" x14ac:dyDescent="0.3">
      <c r="A8">
        <v>5</v>
      </c>
      <c r="B8">
        <v>100</v>
      </c>
      <c r="C8">
        <v>15</v>
      </c>
      <c r="D8" s="8">
        <f>C8/B8</f>
        <v>0.15</v>
      </c>
      <c r="E8" s="8">
        <f>$B$24</f>
        <v>0.13500000000000001</v>
      </c>
      <c r="F8" s="8">
        <f>$B$24 + 3 * SQRT(($B$24*(1-$B$24))/B8)</f>
        <v>0.23751707174905068</v>
      </c>
      <c r="G8" s="8">
        <f>MAX(0, $B$24 - 3 * SQRT(($B$24*(1-$B$24))/B8))</f>
        <v>3.2482928250949353E-2</v>
      </c>
      <c r="H8" s="9">
        <f>$B$25</f>
        <v>13.5</v>
      </c>
      <c r="I8" s="9">
        <f>$B$25 + 3 * SQRT($B$25*(1-$B$24))</f>
        <v>23.751707174905064</v>
      </c>
      <c r="J8" s="9">
        <f>MAX(0, $B$25 - 3 * SQRT($B$25*(1-$B$24)))</f>
        <v>3.2482928250949339</v>
      </c>
      <c r="K8" t="str">
        <f>IF(OR(C8&gt;I8, C8&lt;J8), "FUERA DE CONTROL", "OK")</f>
        <v>OK</v>
      </c>
      <c r="M8" s="4"/>
      <c r="N8" s="4"/>
      <c r="O8" s="4"/>
      <c r="P8" s="4"/>
    </row>
    <row r="9" spans="1:16" x14ac:dyDescent="0.3">
      <c r="A9">
        <v>6</v>
      </c>
      <c r="B9">
        <v>100</v>
      </c>
      <c r="C9">
        <v>20</v>
      </c>
      <c r="D9" s="8">
        <f>C9/B9</f>
        <v>0.2</v>
      </c>
      <c r="E9" s="8">
        <f>$B$24</f>
        <v>0.13500000000000001</v>
      </c>
      <c r="F9" s="8">
        <f>$B$24 + 3 * SQRT(($B$24*(1-$B$24))/B9)</f>
        <v>0.23751707174905068</v>
      </c>
      <c r="G9" s="8">
        <f>MAX(0, $B$24 - 3 * SQRT(($B$24*(1-$B$24))/B9))</f>
        <v>3.2482928250949353E-2</v>
      </c>
      <c r="H9" s="9">
        <f>$B$25</f>
        <v>13.5</v>
      </c>
      <c r="I9" s="9">
        <f>$B$25 + 3 * SQRT($B$25*(1-$B$24))</f>
        <v>23.751707174905064</v>
      </c>
      <c r="J9" s="9">
        <f>MAX(0, $B$25 - 3 * SQRT($B$25*(1-$B$24)))</f>
        <v>3.2482928250949339</v>
      </c>
      <c r="K9" t="str">
        <f>IF(OR(C9&gt;I9, C9&lt;J9), "FUERA DE CONTROL", "OK")</f>
        <v>OK</v>
      </c>
      <c r="M9" s="5" t="s">
        <v>6</v>
      </c>
      <c r="N9" s="5"/>
      <c r="O9" s="5"/>
      <c r="P9" s="5"/>
    </row>
    <row r="10" spans="1:16" x14ac:dyDescent="0.3">
      <c r="A10">
        <v>7</v>
      </c>
      <c r="B10">
        <v>100</v>
      </c>
      <c r="C10">
        <v>19</v>
      </c>
      <c r="D10" s="8">
        <f>C10/B10</f>
        <v>0.19</v>
      </c>
      <c r="E10" s="8">
        <f>$B$24</f>
        <v>0.13500000000000001</v>
      </c>
      <c r="F10" s="8">
        <f>$B$24 + 3 * SQRT(($B$24*(1-$B$24))/B10)</f>
        <v>0.23751707174905068</v>
      </c>
      <c r="G10" s="8">
        <f>MAX(0, $B$24 - 3 * SQRT(($B$24*(1-$B$24))/B10))</f>
        <v>3.2482928250949353E-2</v>
      </c>
      <c r="H10" s="9">
        <f>$B$25</f>
        <v>13.5</v>
      </c>
      <c r="I10" s="9">
        <f>$B$25 + 3 * SQRT($B$25*(1-$B$24))</f>
        <v>23.751707174905064</v>
      </c>
      <c r="J10" s="9">
        <f>MAX(0, $B$25 - 3 * SQRT($B$25*(1-$B$24)))</f>
        <v>3.2482928250949339</v>
      </c>
      <c r="K10" t="str">
        <f>IF(OR(C10&gt;I10, C10&lt;J10), "FUERA DE CONTROL", "OK")</f>
        <v>OK</v>
      </c>
      <c r="M10" s="5" t="s">
        <v>7</v>
      </c>
      <c r="N10" s="5"/>
      <c r="O10" s="5"/>
      <c r="P10" s="5"/>
    </row>
    <row r="11" spans="1:16" x14ac:dyDescent="0.3">
      <c r="A11">
        <v>8</v>
      </c>
      <c r="B11">
        <v>100</v>
      </c>
      <c r="C11">
        <v>12</v>
      </c>
      <c r="D11" s="8">
        <f>C11/B11</f>
        <v>0.12</v>
      </c>
      <c r="E11" s="8">
        <f>$B$24</f>
        <v>0.13500000000000001</v>
      </c>
      <c r="F11" s="8">
        <f>$B$24 + 3 * SQRT(($B$24*(1-$B$24))/B11)</f>
        <v>0.23751707174905068</v>
      </c>
      <c r="G11" s="8">
        <f>MAX(0, $B$24 - 3 * SQRT(($B$24*(1-$B$24))/B11))</f>
        <v>3.2482928250949353E-2</v>
      </c>
      <c r="H11" s="9">
        <f>$B$25</f>
        <v>13.5</v>
      </c>
      <c r="I11" s="9">
        <f>$B$25 + 3 * SQRT($B$25*(1-$B$24))</f>
        <v>23.751707174905064</v>
      </c>
      <c r="J11" s="9">
        <f>MAX(0, $B$25 - 3 * SQRT($B$25*(1-$B$24)))</f>
        <v>3.2482928250949339</v>
      </c>
      <c r="K11" t="str">
        <f>IF(OR(C11&gt;I11, C11&lt;J11), "FUERA DE CONTROL", "OK")</f>
        <v>OK</v>
      </c>
      <c r="M11" s="4"/>
      <c r="N11" s="4"/>
      <c r="O11" s="4"/>
      <c r="P11" s="4"/>
    </row>
    <row r="12" spans="1:16" x14ac:dyDescent="0.3">
      <c r="A12">
        <v>9</v>
      </c>
      <c r="B12">
        <v>100</v>
      </c>
      <c r="C12">
        <v>17</v>
      </c>
      <c r="D12" s="8">
        <f>C12/B12</f>
        <v>0.17</v>
      </c>
      <c r="E12" s="8">
        <f>$B$24</f>
        <v>0.13500000000000001</v>
      </c>
      <c r="F12" s="8">
        <f>$B$24 + 3 * SQRT(($B$24*(1-$B$24))/B12)</f>
        <v>0.23751707174905068</v>
      </c>
      <c r="G12" s="8">
        <f>MAX(0, $B$24 - 3 * SQRT(($B$24*(1-$B$24))/B12))</f>
        <v>3.2482928250949353E-2</v>
      </c>
      <c r="H12" s="9">
        <f>$B$25</f>
        <v>13.5</v>
      </c>
      <c r="I12" s="9">
        <f>$B$25 + 3 * SQRT($B$25*(1-$B$24))</f>
        <v>23.751707174905064</v>
      </c>
      <c r="J12" s="9">
        <f>MAX(0, $B$25 - 3 * SQRT($B$25*(1-$B$24)))</f>
        <v>3.2482928250949339</v>
      </c>
      <c r="K12" t="str">
        <f>IF(OR(C12&gt;I12, C12&lt;J12), "FUERA DE CONTROL", "OK")</f>
        <v>OK</v>
      </c>
    </row>
    <row r="13" spans="1:16" x14ac:dyDescent="0.3">
      <c r="A13">
        <v>10</v>
      </c>
      <c r="B13">
        <v>100</v>
      </c>
      <c r="C13">
        <v>6</v>
      </c>
      <c r="D13" s="8">
        <f>C13/B13</f>
        <v>0.06</v>
      </c>
      <c r="E13" s="8">
        <f>$B$24</f>
        <v>0.13500000000000001</v>
      </c>
      <c r="F13" s="8">
        <f>$B$24 + 3 * SQRT(($B$24*(1-$B$24))/B13)</f>
        <v>0.23751707174905068</v>
      </c>
      <c r="G13" s="8">
        <f>MAX(0, $B$24 - 3 * SQRT(($B$24*(1-$B$24))/B13))</f>
        <v>3.2482928250949353E-2</v>
      </c>
      <c r="H13" s="9">
        <f>$B$25</f>
        <v>13.5</v>
      </c>
      <c r="I13" s="9">
        <f>$B$25 + 3 * SQRT($B$25*(1-$B$24))</f>
        <v>23.751707174905064</v>
      </c>
      <c r="J13" s="9">
        <f>MAX(0, $B$25 - 3 * SQRT($B$25*(1-$B$24)))</f>
        <v>3.2482928250949339</v>
      </c>
      <c r="K13" t="str">
        <f>IF(OR(C13&gt;I13, C13&lt;J13), "FUERA DE CONTROL", "OK")</f>
        <v>OK</v>
      </c>
    </row>
    <row r="14" spans="1:16" x14ac:dyDescent="0.3">
      <c r="A14">
        <v>11</v>
      </c>
      <c r="B14">
        <v>100</v>
      </c>
      <c r="C14">
        <v>10</v>
      </c>
      <c r="D14" s="8">
        <f>C14/B14</f>
        <v>0.1</v>
      </c>
      <c r="E14" s="8">
        <f>$B$24</f>
        <v>0.13500000000000001</v>
      </c>
      <c r="F14" s="8">
        <f>$B$24 + 3 * SQRT(($B$24*(1-$B$24))/B14)</f>
        <v>0.23751707174905068</v>
      </c>
      <c r="G14" s="8">
        <f>MAX(0, $B$24 - 3 * SQRT(($B$24*(1-$B$24))/B14))</f>
        <v>3.2482928250949353E-2</v>
      </c>
      <c r="H14" s="9">
        <f>$B$25</f>
        <v>13.5</v>
      </c>
      <c r="I14" s="9">
        <f>$B$25 + 3 * SQRT($B$25*(1-$B$24))</f>
        <v>23.751707174905064</v>
      </c>
      <c r="J14" s="9">
        <f>MAX(0, $B$25 - 3 * SQRT($B$25*(1-$B$24)))</f>
        <v>3.2482928250949339</v>
      </c>
      <c r="K14" t="str">
        <f>IF(OR(C14&gt;I14, C14&lt;J14), "FUERA DE CONTROL", "OK")</f>
        <v>OK</v>
      </c>
    </row>
    <row r="15" spans="1:16" x14ac:dyDescent="0.3">
      <c r="A15">
        <v>12</v>
      </c>
      <c r="B15">
        <v>100</v>
      </c>
      <c r="C15">
        <v>15</v>
      </c>
      <c r="D15" s="8">
        <f>C15/B15</f>
        <v>0.15</v>
      </c>
      <c r="E15" s="8">
        <f>$B$24</f>
        <v>0.13500000000000001</v>
      </c>
      <c r="F15" s="8">
        <f>$B$24 + 3 * SQRT(($B$24*(1-$B$24))/B15)</f>
        <v>0.23751707174905068</v>
      </c>
      <c r="G15" s="8">
        <f>MAX(0, $B$24 - 3 * SQRT(($B$24*(1-$B$24))/B15))</f>
        <v>3.2482928250949353E-2</v>
      </c>
      <c r="H15" s="9">
        <f>$B$25</f>
        <v>13.5</v>
      </c>
      <c r="I15" s="9">
        <f>$B$25 + 3 * SQRT($B$25*(1-$B$24))</f>
        <v>23.751707174905064</v>
      </c>
      <c r="J15" s="9">
        <f>MAX(0, $B$25 - 3 * SQRT($B$25*(1-$B$24)))</f>
        <v>3.2482928250949339</v>
      </c>
      <c r="K15" t="str">
        <f>IF(OR(C15&gt;I15, C15&lt;J15), "FUERA DE CONTROL", "OK")</f>
        <v>OK</v>
      </c>
    </row>
    <row r="16" spans="1:16" x14ac:dyDescent="0.3">
      <c r="A16">
        <v>13</v>
      </c>
      <c r="B16">
        <v>100</v>
      </c>
      <c r="C16">
        <v>9</v>
      </c>
      <c r="D16" s="8">
        <f>C16/B16</f>
        <v>0.09</v>
      </c>
      <c r="E16" s="8">
        <f>$B$24</f>
        <v>0.13500000000000001</v>
      </c>
      <c r="F16" s="8">
        <f>$B$24 + 3 * SQRT(($B$24*(1-$B$24))/B16)</f>
        <v>0.23751707174905068</v>
      </c>
      <c r="G16" s="8">
        <f>MAX(0, $B$24 - 3 * SQRT(($B$24*(1-$B$24))/B16))</f>
        <v>3.2482928250949353E-2</v>
      </c>
      <c r="H16" s="9">
        <f>$B$25</f>
        <v>13.5</v>
      </c>
      <c r="I16" s="9">
        <f>$B$25 + 3 * SQRT($B$25*(1-$B$24))</f>
        <v>23.751707174905064</v>
      </c>
      <c r="J16" s="9">
        <f>MAX(0, $B$25 - 3 * SQRT($B$25*(1-$B$24)))</f>
        <v>3.2482928250949339</v>
      </c>
      <c r="K16" t="str">
        <f>IF(OR(C16&gt;I16, C16&lt;J16), "FUERA DE CONTROL", "OK")</f>
        <v>OK</v>
      </c>
    </row>
    <row r="17" spans="1:11" x14ac:dyDescent="0.3">
      <c r="A17">
        <v>14</v>
      </c>
      <c r="B17">
        <v>100</v>
      </c>
      <c r="C17">
        <v>17</v>
      </c>
      <c r="D17" s="8">
        <f>C17/B17</f>
        <v>0.17</v>
      </c>
      <c r="E17" s="8">
        <f>$B$24</f>
        <v>0.13500000000000001</v>
      </c>
      <c r="F17" s="8">
        <f>$B$24 + 3 * SQRT(($B$24*(1-$B$24))/B17)</f>
        <v>0.23751707174905068</v>
      </c>
      <c r="G17" s="8">
        <f>MAX(0, $B$24 - 3 * SQRT(($B$24*(1-$B$24))/B17))</f>
        <v>3.2482928250949353E-2</v>
      </c>
      <c r="H17" s="9">
        <f>$B$25</f>
        <v>13.5</v>
      </c>
      <c r="I17" s="9">
        <f>$B$25 + 3 * SQRT($B$25*(1-$B$24))</f>
        <v>23.751707174905064</v>
      </c>
      <c r="J17" s="9">
        <f>MAX(0, $B$25 - 3 * SQRT($B$25*(1-$B$24)))</f>
        <v>3.2482928250949339</v>
      </c>
      <c r="K17" t="str">
        <f>IF(OR(C17&gt;I17, C17&lt;J17), "FUERA DE CONTROL", "OK")</f>
        <v>OK</v>
      </c>
    </row>
    <row r="18" spans="1:11" x14ac:dyDescent="0.3">
      <c r="A18">
        <v>15</v>
      </c>
      <c r="B18">
        <v>100</v>
      </c>
      <c r="C18">
        <v>13</v>
      </c>
      <c r="D18" s="8">
        <f>C18/B18</f>
        <v>0.13</v>
      </c>
      <c r="E18" s="8">
        <f>$B$24</f>
        <v>0.13500000000000001</v>
      </c>
      <c r="F18" s="8">
        <f>$B$24 + 3 * SQRT(($B$24*(1-$B$24))/B18)</f>
        <v>0.23751707174905068</v>
      </c>
      <c r="G18" s="8">
        <f>MAX(0, $B$24 - 3 * SQRT(($B$24*(1-$B$24))/B18))</f>
        <v>3.2482928250949353E-2</v>
      </c>
      <c r="H18" s="9">
        <f>$B$25</f>
        <v>13.5</v>
      </c>
      <c r="I18" s="9">
        <f>$B$25 + 3 * SQRT($B$25*(1-$B$24))</f>
        <v>23.751707174905064</v>
      </c>
      <c r="J18" s="9">
        <f>MAX(0, $B$25 - 3 * SQRT($B$25*(1-$B$24)))</f>
        <v>3.2482928250949339</v>
      </c>
      <c r="K18" t="str">
        <f>IF(OR(C18&gt;I18, C18&lt;J18), "FUERA DE CONTROL", "OK")</f>
        <v>OK</v>
      </c>
    </row>
    <row r="19" spans="1:11" x14ac:dyDescent="0.3">
      <c r="A19">
        <v>16</v>
      </c>
      <c r="B19">
        <v>100</v>
      </c>
      <c r="C19">
        <v>11</v>
      </c>
      <c r="D19" s="8">
        <f>C19/B19</f>
        <v>0.11</v>
      </c>
      <c r="E19" s="8">
        <f>$B$24</f>
        <v>0.13500000000000001</v>
      </c>
      <c r="F19" s="8">
        <f>$B$24 + 3 * SQRT(($B$24*(1-$B$24))/B19)</f>
        <v>0.23751707174905068</v>
      </c>
      <c r="G19" s="8">
        <f>MAX(0, $B$24 - 3 * SQRT(($B$24*(1-$B$24))/B19))</f>
        <v>3.2482928250949353E-2</v>
      </c>
      <c r="H19" s="9">
        <f>$B$25</f>
        <v>13.5</v>
      </c>
      <c r="I19" s="9">
        <f>$B$25 + 3 * SQRT($B$25*(1-$B$24))</f>
        <v>23.751707174905064</v>
      </c>
      <c r="J19" s="9">
        <f>MAX(0, $B$25 - 3 * SQRT($B$25*(1-$B$24)))</f>
        <v>3.2482928250949339</v>
      </c>
      <c r="K19" t="str">
        <f>IF(OR(C19&gt;I19, C19&lt;J19), "FUERA DE CONTROL", "OK")</f>
        <v>OK</v>
      </c>
    </row>
    <row r="21" spans="1:11" x14ac:dyDescent="0.3">
      <c r="A21" s="6" t="s">
        <v>19</v>
      </c>
    </row>
    <row r="22" spans="1:11" x14ac:dyDescent="0.3">
      <c r="A22" t="s">
        <v>20</v>
      </c>
      <c r="B22">
        <f>SUM(C4:C19)</f>
        <v>216</v>
      </c>
    </row>
    <row r="23" spans="1:11" x14ac:dyDescent="0.3">
      <c r="A23" t="s">
        <v>21</v>
      </c>
      <c r="B23">
        <f>SUM(B4:B19)</f>
        <v>1600</v>
      </c>
    </row>
    <row r="24" spans="1:11" x14ac:dyDescent="0.3">
      <c r="A24" t="s">
        <v>22</v>
      </c>
      <c r="B24">
        <f>B22/B23</f>
        <v>0.13500000000000001</v>
      </c>
    </row>
    <row r="25" spans="1:11" x14ac:dyDescent="0.3">
      <c r="A25" t="s">
        <v>23</v>
      </c>
      <c r="B25">
        <f>B24*B4</f>
        <v>13.5</v>
      </c>
    </row>
  </sheetData>
  <mergeCells count="8">
    <mergeCell ref="M9:P9"/>
    <mergeCell ref="M10:P10"/>
    <mergeCell ref="A1:K1"/>
    <mergeCell ref="M2:P2"/>
    <mergeCell ref="M3:P3"/>
    <mergeCell ref="M4:P4"/>
    <mergeCell ref="M6:P6"/>
    <mergeCell ref="M7:P7"/>
  </mergeCells>
  <conditionalFormatting sqref="K4:K19">
    <cfRule type="cellIs" dxfId="1" priority="1" stopIfTrue="1" operator="equal">
      <formula>"OK"</formula>
    </cfRule>
    <cfRule type="cellIs" dxfId="0" priority="2" stopIfTrue="1" operator="equal">
      <formula>"FUERA DE CONTROL"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1E4F-7330-4982-80A3-D2EDFCBBE504}">
  <sheetPr codeName="Hoja1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Tutorial_CEP_Mentor074732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2026-07-03T12:45:54Z</dcterms:created>
  <dcterms:modified xsi:type="dcterms:W3CDTF">2026-07-04T10:18:33Z</dcterms:modified>
</cp:coreProperties>
</file>