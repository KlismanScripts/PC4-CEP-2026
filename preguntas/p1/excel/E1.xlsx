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UNI 26-1\CONTROL ESTADISTICO DE PROCESOS\pc4\PC4-CEP-2026\preguntas\p1\excel\"/>
    </mc:Choice>
  </mc:AlternateContent>
  <xr:revisionPtr revIDLastSave="0" documentId="8_{E9983FD4-0AD1-45D5-B76F-3FB8C81FF64E}" xr6:coauthVersionLast="47" xr6:coauthVersionMax="47" xr10:uidLastSave="{00000000-0000-0000-0000-000000000000}"/>
  <bookViews>
    <workbookView xWindow="-108" yWindow="-108" windowWidth="23256" windowHeight="12456" xr2:uid="{3B01D7E2-1715-47C9-9C7D-FA8857A07F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6" i="1" l="1"/>
  <c r="V16" i="1"/>
  <c r="U16" i="1"/>
  <c r="T16" i="1"/>
  <c r="R16" i="1"/>
  <c r="Q16" i="1"/>
  <c r="P16" i="1"/>
  <c r="O16" i="1"/>
  <c r="W15" i="1"/>
  <c r="V15" i="1"/>
  <c r="U15" i="1"/>
  <c r="T15" i="1"/>
  <c r="R15" i="1"/>
  <c r="Q15" i="1"/>
  <c r="P15" i="1"/>
  <c r="O15" i="1"/>
  <c r="W14" i="1"/>
  <c r="V14" i="1"/>
  <c r="U14" i="1"/>
  <c r="T14" i="1"/>
  <c r="R14" i="1"/>
  <c r="Q14" i="1"/>
  <c r="P14" i="1"/>
  <c r="O14" i="1"/>
  <c r="W13" i="1"/>
  <c r="V13" i="1"/>
  <c r="U13" i="1"/>
  <c r="T13" i="1"/>
  <c r="R13" i="1"/>
  <c r="Q13" i="1"/>
  <c r="P13" i="1"/>
  <c r="O13" i="1"/>
  <c r="W12" i="1"/>
  <c r="V12" i="1"/>
  <c r="U12" i="1"/>
  <c r="T12" i="1"/>
  <c r="R12" i="1"/>
  <c r="Q12" i="1"/>
  <c r="P12" i="1"/>
  <c r="O12" i="1"/>
  <c r="W11" i="1"/>
  <c r="V11" i="1"/>
  <c r="U11" i="1"/>
  <c r="T11" i="1"/>
  <c r="R11" i="1"/>
  <c r="Q11" i="1"/>
  <c r="P11" i="1"/>
  <c r="O11" i="1"/>
  <c r="W10" i="1"/>
  <c r="V10" i="1"/>
  <c r="U10" i="1"/>
  <c r="T10" i="1"/>
  <c r="R10" i="1"/>
  <c r="Q10" i="1"/>
  <c r="P10" i="1"/>
  <c r="O10" i="1"/>
  <c r="W9" i="1"/>
  <c r="V9" i="1"/>
  <c r="U9" i="1"/>
  <c r="T9" i="1"/>
  <c r="R9" i="1"/>
  <c r="Q9" i="1"/>
  <c r="P9" i="1"/>
  <c r="O9" i="1"/>
  <c r="W8" i="1"/>
  <c r="V8" i="1"/>
  <c r="U8" i="1"/>
  <c r="T8" i="1"/>
  <c r="R8" i="1"/>
  <c r="Q8" i="1"/>
  <c r="P8" i="1"/>
  <c r="O8" i="1"/>
  <c r="W7" i="1"/>
  <c r="V7" i="1"/>
  <c r="U7" i="1"/>
  <c r="T7" i="1"/>
  <c r="R7" i="1"/>
  <c r="Q7" i="1"/>
  <c r="P7" i="1"/>
  <c r="O7" i="1"/>
  <c r="W6" i="1"/>
  <c r="V6" i="1"/>
  <c r="U6" i="1"/>
  <c r="T6" i="1"/>
  <c r="R6" i="1"/>
  <c r="Q6" i="1"/>
  <c r="P6" i="1"/>
  <c r="O6" i="1"/>
  <c r="W5" i="1"/>
  <c r="V5" i="1"/>
  <c r="U5" i="1"/>
  <c r="T5" i="1"/>
  <c r="R5" i="1"/>
  <c r="Q5" i="1"/>
  <c r="P5" i="1"/>
  <c r="O5" i="1"/>
  <c r="M6" i="1"/>
  <c r="M5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</calcChain>
</file>

<file path=xl/sharedStrings.xml><?xml version="1.0" encoding="utf-8"?>
<sst xmlns="http://schemas.openxmlformats.org/spreadsheetml/2006/main" count="23" uniqueCount="23">
  <si>
    <t>ANÁLISIS CEP: TIEMPO DE PICKING AMAZON (CARTA X-BARRA / R)</t>
  </si>
  <si>
    <t>Subgrupo</t>
  </si>
  <si>
    <t>X1</t>
  </si>
  <si>
    <t>X2</t>
  </si>
  <si>
    <t>X3</t>
  </si>
  <si>
    <t>X4</t>
  </si>
  <si>
    <t>X5</t>
  </si>
  <si>
    <t>Media (X-barra)</t>
  </si>
  <si>
    <t>Rango (R)</t>
  </si>
  <si>
    <t>PARÁMETROS DEL PROCESO (n=5)</t>
  </si>
  <si>
    <t>Gran Media (X-doble barra):</t>
  </si>
  <si>
    <t>Rango Promedio (R-barra):</t>
  </si>
  <si>
    <t>Constante A2:</t>
  </si>
  <si>
    <t>Constante D3:</t>
  </si>
  <si>
    <t>Constante D4:</t>
  </si>
  <si>
    <t>LCI_X</t>
  </si>
  <si>
    <t>LC_X</t>
  </si>
  <si>
    <t>LCS_X</t>
  </si>
  <si>
    <t>Veredicto X</t>
  </si>
  <si>
    <t>LCI_R</t>
  </si>
  <si>
    <t>LC_R</t>
  </si>
  <si>
    <t>LCS_R</t>
  </si>
  <si>
    <t>Veredicto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</si>
</sst>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8D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0" borderId="0" xfId="0"/>
    <xf numFmtId="0" fontId="1" fillId="0" borderId="0" xfId="0" applyFont="1"/>
    <xf numFmtId="164" fontId="0" fillId="3" borderId="0" xfId="0" applyNumberFormat="1" applyFill="1"/>
    <xf numFmtId="0" fontId="1" fillId="4" borderId="0" xfId="0" applyFont="1" applyFill="1"/>
    <xf numFmtId="0" fontId="1" fillId="5" borderId="0" xfId="0" applyFont="1" applyFill="1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Carta X-barra (Tiempo de Picking)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Media Muestral</c:v>
          </c:tx>
          <c:cat>
            <c:numRef>
              <c:f>Hoja1!$A$5:$A$16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Hoja1!$G$5:$G$16</c:f>
              <c:numCache>
                <c:formatCode>General</c:formatCode>
                <c:ptCount val="12"/>
                <c:pt idx="0">
                  <c:v>45</c:v>
                </c:pt>
                <c:pt idx="1">
                  <c:v>44.8</c:v>
                </c:pt>
                <c:pt idx="2">
                  <c:v>45.6</c:v>
                </c:pt>
                <c:pt idx="3">
                  <c:v>44.6</c:v>
                </c:pt>
                <c:pt idx="4">
                  <c:v>44.8</c:v>
                </c:pt>
                <c:pt idx="5">
                  <c:v>46.6</c:v>
                </c:pt>
                <c:pt idx="6">
                  <c:v>43.6</c:v>
                </c:pt>
                <c:pt idx="7">
                  <c:v>45.8</c:v>
                </c:pt>
                <c:pt idx="8">
                  <c:v>45.2</c:v>
                </c:pt>
                <c:pt idx="9">
                  <c:v>47.6</c:v>
                </c:pt>
                <c:pt idx="10">
                  <c:v>44.2</c:v>
                </c:pt>
                <c:pt idx="11">
                  <c:v>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A0-4637-BECE-6866FC1F6C44}"/>
            </c:ext>
          </c:extLst>
        </c:ser>
        <c:ser>
          <c:idx val="1"/>
          <c:order val="1"/>
          <c:tx>
            <c:v>LCI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Hoja1!$O$5:$O$16</c:f>
              <c:numCache>
                <c:formatCode>0.00</c:formatCode>
                <c:ptCount val="12"/>
                <c:pt idx="0">
                  <c:v>43.744666666666674</c:v>
                </c:pt>
                <c:pt idx="1">
                  <c:v>43.744666666666674</c:v>
                </c:pt>
                <c:pt idx="2">
                  <c:v>43.744666666666674</c:v>
                </c:pt>
                <c:pt idx="3">
                  <c:v>43.744666666666674</c:v>
                </c:pt>
                <c:pt idx="4">
                  <c:v>43.744666666666674</c:v>
                </c:pt>
                <c:pt idx="5">
                  <c:v>43.744666666666674</c:v>
                </c:pt>
                <c:pt idx="6">
                  <c:v>43.744666666666674</c:v>
                </c:pt>
                <c:pt idx="7">
                  <c:v>43.744666666666674</c:v>
                </c:pt>
                <c:pt idx="8">
                  <c:v>43.744666666666674</c:v>
                </c:pt>
                <c:pt idx="9">
                  <c:v>43.744666666666674</c:v>
                </c:pt>
                <c:pt idx="10">
                  <c:v>43.744666666666674</c:v>
                </c:pt>
                <c:pt idx="11">
                  <c:v>43.744666666666674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A0-4637-BECE-6866FC1F6C44}"/>
            </c:ext>
          </c:extLst>
        </c:ser>
        <c:ser>
          <c:idx val="2"/>
          <c:order val="2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Hoja1!$P$5:$P$16</c:f>
              <c:numCache>
                <c:formatCode>0.00</c:formatCode>
                <c:ptCount val="12"/>
                <c:pt idx="0">
                  <c:v>45.283333333333339</c:v>
                </c:pt>
                <c:pt idx="1">
                  <c:v>45.283333333333339</c:v>
                </c:pt>
                <c:pt idx="2">
                  <c:v>45.283333333333339</c:v>
                </c:pt>
                <c:pt idx="3">
                  <c:v>45.283333333333339</c:v>
                </c:pt>
                <c:pt idx="4">
                  <c:v>45.283333333333339</c:v>
                </c:pt>
                <c:pt idx="5">
                  <c:v>45.283333333333339</c:v>
                </c:pt>
                <c:pt idx="6">
                  <c:v>45.283333333333339</c:v>
                </c:pt>
                <c:pt idx="7">
                  <c:v>45.283333333333339</c:v>
                </c:pt>
                <c:pt idx="8">
                  <c:v>45.283333333333339</c:v>
                </c:pt>
                <c:pt idx="9">
                  <c:v>45.283333333333339</c:v>
                </c:pt>
                <c:pt idx="10">
                  <c:v>45.283333333333339</c:v>
                </c:pt>
                <c:pt idx="11">
                  <c:v>45.283333333333339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A0-4637-BECE-6866FC1F6C44}"/>
            </c:ext>
          </c:extLst>
        </c:ser>
        <c:ser>
          <c:idx val="3"/>
          <c:order val="3"/>
          <c:tx>
            <c:v>LCS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Hoja1!$Q$5:$Q$16</c:f>
              <c:numCache>
                <c:formatCode>0.00</c:formatCode>
                <c:ptCount val="12"/>
                <c:pt idx="0">
                  <c:v>46.822000000000003</c:v>
                </c:pt>
                <c:pt idx="1">
                  <c:v>46.822000000000003</c:v>
                </c:pt>
                <c:pt idx="2">
                  <c:v>46.822000000000003</c:v>
                </c:pt>
                <c:pt idx="3">
                  <c:v>46.822000000000003</c:v>
                </c:pt>
                <c:pt idx="4">
                  <c:v>46.822000000000003</c:v>
                </c:pt>
                <c:pt idx="5">
                  <c:v>46.822000000000003</c:v>
                </c:pt>
                <c:pt idx="6">
                  <c:v>46.822000000000003</c:v>
                </c:pt>
                <c:pt idx="7">
                  <c:v>46.822000000000003</c:v>
                </c:pt>
                <c:pt idx="8">
                  <c:v>46.822000000000003</c:v>
                </c:pt>
                <c:pt idx="9">
                  <c:v>46.822000000000003</c:v>
                </c:pt>
                <c:pt idx="10">
                  <c:v>46.822000000000003</c:v>
                </c:pt>
                <c:pt idx="11">
                  <c:v>46.822000000000003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A0-4637-BECE-6866FC1F6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710735"/>
        <c:axId val="1774711983"/>
      </c:lineChart>
      <c:catAx>
        <c:axId val="1774710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4711983"/>
        <c:crosses val="autoZero"/>
        <c:auto val="1"/>
        <c:lblAlgn val="ctr"/>
        <c:lblOffset val="100"/>
        <c:noMultiLvlLbl val="0"/>
      </c:catAx>
      <c:valAx>
        <c:axId val="17747119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471073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Carta R (Variabilidad del Operador)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Rango Muestral</c:v>
          </c:tx>
          <c:cat>
            <c:numRef>
              <c:f>Hoja1!$A$5:$A$16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Hoja1!$H$5:$H$16</c:f>
              <c:numCache>
                <c:formatCode>General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9E-4F4B-9C05-3AC51DC6E2E9}"/>
            </c:ext>
          </c:extLst>
        </c:ser>
        <c:ser>
          <c:idx val="1"/>
          <c:order val="1"/>
          <c:tx>
            <c:v>LCI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Hoja1!$T$5:$T$16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9E-4F4B-9C05-3AC51DC6E2E9}"/>
            </c:ext>
          </c:extLst>
        </c:ser>
        <c:ser>
          <c:idx val="2"/>
          <c:order val="2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Hoja1!$U$5:$U$16</c:f>
              <c:numCache>
                <c:formatCode>0.00</c:formatCode>
                <c:ptCount val="12"/>
                <c:pt idx="0">
                  <c:v>2.6666666666666665</c:v>
                </c:pt>
                <c:pt idx="1">
                  <c:v>2.6666666666666665</c:v>
                </c:pt>
                <c:pt idx="2">
                  <c:v>2.6666666666666665</c:v>
                </c:pt>
                <c:pt idx="3">
                  <c:v>2.6666666666666665</c:v>
                </c:pt>
                <c:pt idx="4">
                  <c:v>2.6666666666666665</c:v>
                </c:pt>
                <c:pt idx="5">
                  <c:v>2.6666666666666665</c:v>
                </c:pt>
                <c:pt idx="6">
                  <c:v>2.6666666666666665</c:v>
                </c:pt>
                <c:pt idx="7">
                  <c:v>2.6666666666666665</c:v>
                </c:pt>
                <c:pt idx="8">
                  <c:v>2.6666666666666665</c:v>
                </c:pt>
                <c:pt idx="9">
                  <c:v>2.6666666666666665</c:v>
                </c:pt>
                <c:pt idx="10">
                  <c:v>2.6666666666666665</c:v>
                </c:pt>
                <c:pt idx="11">
                  <c:v>2.6666666666666665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9E-4F4B-9C05-3AC51DC6E2E9}"/>
            </c:ext>
          </c:extLst>
        </c:ser>
        <c:ser>
          <c:idx val="3"/>
          <c:order val="3"/>
          <c:tx>
            <c:v>LCS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Hoja1!$V$5:$V$16</c:f>
              <c:numCache>
                <c:formatCode>0.00</c:formatCode>
                <c:ptCount val="12"/>
                <c:pt idx="0">
                  <c:v>5.6373333333333324</c:v>
                </c:pt>
                <c:pt idx="1">
                  <c:v>5.6373333333333324</c:v>
                </c:pt>
                <c:pt idx="2">
                  <c:v>5.6373333333333324</c:v>
                </c:pt>
                <c:pt idx="3">
                  <c:v>5.6373333333333324</c:v>
                </c:pt>
                <c:pt idx="4">
                  <c:v>5.6373333333333324</c:v>
                </c:pt>
                <c:pt idx="5">
                  <c:v>5.6373333333333324</c:v>
                </c:pt>
                <c:pt idx="6">
                  <c:v>5.6373333333333324</c:v>
                </c:pt>
                <c:pt idx="7">
                  <c:v>5.6373333333333324</c:v>
                </c:pt>
                <c:pt idx="8">
                  <c:v>5.6373333333333324</c:v>
                </c:pt>
                <c:pt idx="9">
                  <c:v>5.6373333333333324</c:v>
                </c:pt>
                <c:pt idx="10">
                  <c:v>5.6373333333333324</c:v>
                </c:pt>
                <c:pt idx="11">
                  <c:v>5.6373333333333324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9E-4F4B-9C05-3AC51DC6E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596863"/>
        <c:axId val="1771597695"/>
      </c:lineChart>
      <c:catAx>
        <c:axId val="1771596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1597695"/>
        <c:crosses val="autoZero"/>
        <c:auto val="1"/>
        <c:lblAlgn val="ctr"/>
        <c:lblOffset val="100"/>
        <c:noMultiLvlLbl val="0"/>
      </c:catAx>
      <c:valAx>
        <c:axId val="17715976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159686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2011680</xdr:colOff>
      <xdr:row>21</xdr:row>
      <xdr:rowOff>121920</xdr:rowOff>
    </xdr:from>
    <xdr:to>
      <xdr:col>8</xdr:col>
      <xdr:colOff>68580</xdr:colOff>
      <xdr:row>39</xdr:row>
      <xdr:rowOff>5080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FBEF90-B3DE-4891-B22B-6094B8679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335280</xdr:colOff>
      <xdr:row>18</xdr:row>
      <xdr:rowOff>137160</xdr:rowOff>
    </xdr:from>
    <xdr:to>
      <xdr:col>16</xdr:col>
      <xdr:colOff>30480</xdr:colOff>
      <xdr:row>36</xdr:row>
      <xdr:rowOff>20320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B4A23F-33B3-4D4D-879C-DC6F3F161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FEE6-7FA3-48CB-912D-866633C0FEC9}">
  <sheetPr codeName="Hoja1"/>
  <dimension ref="A1:W16"/>
  <sheetViews>
    <sheetView tabSelected="1" workbookViewId="0">
      <selection activeCell="H16" sqref="H16"/>
    </sheetView>
  </sheetViews>
  <sheetFormatPr baseColWidth="10" defaultRowHeight="14.4" x14ac:dyDescent="0.3"/>
  <cols>
    <col min="1" max="1" width="72.5546875" bestFit="1" customWidth="1"/>
    <col min="2" max="6" width="3.109375" bestFit="1" customWidth="1"/>
    <col min="7" max="7" width="14.33203125" bestFit="1" customWidth="1"/>
    <col min="8" max="8" width="9.21875" bestFit="1" customWidth="1"/>
    <col min="10" max="10" width="23.77734375" bestFit="1" customWidth="1"/>
    <col min="13" max="13" width="6.5546875" bestFit="1" customWidth="1"/>
    <col min="15" max="15" width="5.6640625" bestFit="1" customWidth="1"/>
    <col min="16" max="16" width="5.5546875" bestFit="1" customWidth="1"/>
    <col min="17" max="17" width="6.109375" bestFit="1" customWidth="1"/>
    <col min="18" max="18" width="17.77734375" bestFit="1" customWidth="1"/>
    <col min="20" max="20" width="5.6640625" bestFit="1" customWidth="1"/>
    <col min="21" max="21" width="5.109375" bestFit="1" customWidth="1"/>
    <col min="22" max="22" width="6.109375" bestFit="1" customWidth="1"/>
    <col min="23" max="23" width="10.6640625" bestFit="1" customWidth="1"/>
  </cols>
  <sheetData>
    <row r="1" spans="1:23" ht="18" x14ac:dyDescent="0.35">
      <c r="A1" s="1" t="s">
        <v>0</v>
      </c>
    </row>
    <row r="4" spans="1:23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J4" s="4" t="s">
        <v>9</v>
      </c>
      <c r="K4" s="3"/>
      <c r="L4" s="3"/>
      <c r="M4" s="3"/>
      <c r="O4" s="6" t="s">
        <v>15</v>
      </c>
      <c r="P4" s="6" t="s">
        <v>16</v>
      </c>
      <c r="Q4" s="6" t="s">
        <v>17</v>
      </c>
      <c r="R4" s="6" t="s">
        <v>18</v>
      </c>
      <c r="T4" s="7" t="s">
        <v>19</v>
      </c>
      <c r="U4" s="7" t="s">
        <v>20</v>
      </c>
      <c r="V4" s="7" t="s">
        <v>21</v>
      </c>
      <c r="W4" s="7" t="s">
        <v>22</v>
      </c>
    </row>
    <row r="5" spans="1:23" x14ac:dyDescent="0.3">
      <c r="A5">
        <v>1</v>
      </c>
      <c r="B5">
        <v>44</v>
      </c>
      <c r="C5">
        <v>46</v>
      </c>
      <c r="D5">
        <v>45</v>
      </c>
      <c r="E5">
        <v>43</v>
      </c>
      <c r="F5">
        <v>47</v>
      </c>
      <c r="G5">
        <f>AVERAGE(B5:F5)</f>
        <v>45</v>
      </c>
      <c r="H5">
        <f>MAX(B5:F5) - MIN(B5:F5)</f>
        <v>4</v>
      </c>
      <c r="J5" t="s">
        <v>10</v>
      </c>
      <c r="M5" s="5">
        <f>AVERAGE(G5:G16)</f>
        <v>45.283333333333339</v>
      </c>
      <c r="O5" s="8">
        <f>$M$5 - ($M$8 * $M$6)</f>
        <v>43.744666666666674</v>
      </c>
      <c r="P5" s="8">
        <f>$M$5</f>
        <v>45.283333333333339</v>
      </c>
      <c r="Q5" s="8">
        <f>$M$5 + ($M$8 * $M$6)</f>
        <v>46.822000000000003</v>
      </c>
      <c r="R5" t="str">
        <f>IF(OR(G5&lt;O5, G5&gt;Q5), "FUERA DE CONTROL", "OK")</f>
        <v>OK</v>
      </c>
      <c r="T5" s="8">
        <f>$M$9 * $M$6</f>
        <v>0</v>
      </c>
      <c r="U5" s="8">
        <f>$M$6</f>
        <v>2.6666666666666665</v>
      </c>
      <c r="V5" s="8">
        <f>$M$10 * $M$6</f>
        <v>5.6373333333333324</v>
      </c>
      <c r="W5" t="str">
        <f>IF(OR(H5&lt;T5, H5&gt;V5), "FUERA DE CONTROL", "OK")</f>
        <v>OK</v>
      </c>
    </row>
    <row r="6" spans="1:23" x14ac:dyDescent="0.3">
      <c r="A6">
        <v>2</v>
      </c>
      <c r="B6">
        <v>45</v>
      </c>
      <c r="C6">
        <v>44</v>
      </c>
      <c r="D6">
        <v>46</v>
      </c>
      <c r="E6">
        <v>45</v>
      </c>
      <c r="F6">
        <v>44</v>
      </c>
      <c r="G6">
        <f>AVERAGE(B6:F6)</f>
        <v>44.8</v>
      </c>
      <c r="H6">
        <f>MAX(B6:F6) - MIN(B6:F6)</f>
        <v>2</v>
      </c>
      <c r="J6" t="s">
        <v>11</v>
      </c>
      <c r="M6" s="5">
        <f>AVERAGE(H5:H16)</f>
        <v>2.6666666666666665</v>
      </c>
      <c r="O6" s="8">
        <f>$M$5 - ($M$8 * $M$6)</f>
        <v>43.744666666666674</v>
      </c>
      <c r="P6" s="8">
        <f>$M$5</f>
        <v>45.283333333333339</v>
      </c>
      <c r="Q6" s="8">
        <f>$M$5 + ($M$8 * $M$6)</f>
        <v>46.822000000000003</v>
      </c>
      <c r="R6" t="str">
        <f>IF(OR(G6&lt;O6, G6&gt;Q6), "FUERA DE CONTROL", "OK")</f>
        <v>OK</v>
      </c>
      <c r="T6" s="8">
        <f>$M$9 * $M$6</f>
        <v>0</v>
      </c>
      <c r="U6" s="8">
        <f>$M$6</f>
        <v>2.6666666666666665</v>
      </c>
      <c r="V6" s="8">
        <f>$M$10 * $M$6</f>
        <v>5.6373333333333324</v>
      </c>
      <c r="W6" t="str">
        <f>IF(OR(H6&lt;T6, H6&gt;V6), "FUERA DE CONTROL", "OK")</f>
        <v>OK</v>
      </c>
    </row>
    <row r="7" spans="1:23" x14ac:dyDescent="0.3">
      <c r="A7">
        <v>3</v>
      </c>
      <c r="B7">
        <v>46</v>
      </c>
      <c r="C7">
        <v>45</v>
      </c>
      <c r="D7">
        <v>47</v>
      </c>
      <c r="E7">
        <v>44</v>
      </c>
      <c r="F7">
        <v>46</v>
      </c>
      <c r="G7">
        <f>AVERAGE(B7:F7)</f>
        <v>45.6</v>
      </c>
      <c r="H7">
        <f>MAX(B7:F7) - MIN(B7:F7)</f>
        <v>3</v>
      </c>
      <c r="O7" s="8">
        <f>$M$5 - ($M$8 * $M$6)</f>
        <v>43.744666666666674</v>
      </c>
      <c r="P7" s="8">
        <f>$M$5</f>
        <v>45.283333333333339</v>
      </c>
      <c r="Q7" s="8">
        <f>$M$5 + ($M$8 * $M$6)</f>
        <v>46.822000000000003</v>
      </c>
      <c r="R7" t="str">
        <f>IF(OR(G7&lt;O7, G7&gt;Q7), "FUERA DE CONTROL", "OK")</f>
        <v>OK</v>
      </c>
      <c r="T7" s="8">
        <f>$M$9 * $M$6</f>
        <v>0</v>
      </c>
      <c r="U7" s="8">
        <f>$M$6</f>
        <v>2.6666666666666665</v>
      </c>
      <c r="V7" s="8">
        <f>$M$10 * $M$6</f>
        <v>5.6373333333333324</v>
      </c>
      <c r="W7" t="str">
        <f>IF(OR(H7&lt;T7, H7&gt;V7), "FUERA DE CONTROL", "OK")</f>
        <v>OK</v>
      </c>
    </row>
    <row r="8" spans="1:23" x14ac:dyDescent="0.3">
      <c r="A8">
        <v>4</v>
      </c>
      <c r="B8">
        <v>43</v>
      </c>
      <c r="C8">
        <v>45</v>
      </c>
      <c r="D8">
        <v>44</v>
      </c>
      <c r="E8">
        <v>46</v>
      </c>
      <c r="F8">
        <v>45</v>
      </c>
      <c r="G8">
        <f>AVERAGE(B8:F8)</f>
        <v>44.6</v>
      </c>
      <c r="H8">
        <f>MAX(B8:F8) - MIN(B8:F8)</f>
        <v>3</v>
      </c>
      <c r="J8" t="s">
        <v>12</v>
      </c>
      <c r="M8">
        <v>0.57699999999999996</v>
      </c>
      <c r="O8" s="8">
        <f>$M$5 - ($M$8 * $M$6)</f>
        <v>43.744666666666674</v>
      </c>
      <c r="P8" s="8">
        <f>$M$5</f>
        <v>45.283333333333339</v>
      </c>
      <c r="Q8" s="8">
        <f>$M$5 + ($M$8 * $M$6)</f>
        <v>46.822000000000003</v>
      </c>
      <c r="R8" t="str">
        <f>IF(OR(G8&lt;O8, G8&gt;Q8), "FUERA DE CONTROL", "OK")</f>
        <v>OK</v>
      </c>
      <c r="T8" s="8">
        <f>$M$9 * $M$6</f>
        <v>0</v>
      </c>
      <c r="U8" s="8">
        <f>$M$6</f>
        <v>2.6666666666666665</v>
      </c>
      <c r="V8" s="8">
        <f>$M$10 * $M$6</f>
        <v>5.6373333333333324</v>
      </c>
      <c r="W8" t="str">
        <f>IF(OR(H8&lt;T8, H8&gt;V8), "FUERA DE CONTROL", "OK")</f>
        <v>OK</v>
      </c>
    </row>
    <row r="9" spans="1:23" x14ac:dyDescent="0.3">
      <c r="A9">
        <v>5</v>
      </c>
      <c r="B9">
        <v>45</v>
      </c>
      <c r="C9">
        <v>46</v>
      </c>
      <c r="D9">
        <v>44</v>
      </c>
      <c r="E9">
        <v>45</v>
      </c>
      <c r="F9">
        <v>44</v>
      </c>
      <c r="G9">
        <f>AVERAGE(B9:F9)</f>
        <v>44.8</v>
      </c>
      <c r="H9">
        <f>MAX(B9:F9) - MIN(B9:F9)</f>
        <v>2</v>
      </c>
      <c r="J9" t="s">
        <v>13</v>
      </c>
      <c r="M9">
        <v>0</v>
      </c>
      <c r="O9" s="8">
        <f>$M$5 - ($M$8 * $M$6)</f>
        <v>43.744666666666674</v>
      </c>
      <c r="P9" s="8">
        <f>$M$5</f>
        <v>45.283333333333339</v>
      </c>
      <c r="Q9" s="8">
        <f>$M$5 + ($M$8 * $M$6)</f>
        <v>46.822000000000003</v>
      </c>
      <c r="R9" t="str">
        <f>IF(OR(G9&lt;O9, G9&gt;Q9), "FUERA DE CONTROL", "OK")</f>
        <v>OK</v>
      </c>
      <c r="T9" s="8">
        <f>$M$9 * $M$6</f>
        <v>0</v>
      </c>
      <c r="U9" s="8">
        <f>$M$6</f>
        <v>2.6666666666666665</v>
      </c>
      <c r="V9" s="8">
        <f>$M$10 * $M$6</f>
        <v>5.6373333333333324</v>
      </c>
      <c r="W9" t="str">
        <f>IF(OR(H9&lt;T9, H9&gt;V9), "FUERA DE CONTROL", "OK")</f>
        <v>OK</v>
      </c>
    </row>
    <row r="10" spans="1:23" x14ac:dyDescent="0.3">
      <c r="A10">
        <v>6</v>
      </c>
      <c r="B10">
        <v>47</v>
      </c>
      <c r="C10">
        <v>46</v>
      </c>
      <c r="D10">
        <v>48</v>
      </c>
      <c r="E10">
        <v>45</v>
      </c>
      <c r="F10">
        <v>47</v>
      </c>
      <c r="G10">
        <f>AVERAGE(B10:F10)</f>
        <v>46.6</v>
      </c>
      <c r="H10">
        <f>MAX(B10:F10) - MIN(B10:F10)</f>
        <v>3</v>
      </c>
      <c r="J10" t="s">
        <v>14</v>
      </c>
      <c r="M10">
        <v>2.1139999999999999</v>
      </c>
      <c r="O10" s="8">
        <f>$M$5 - ($M$8 * $M$6)</f>
        <v>43.744666666666674</v>
      </c>
      <c r="P10" s="8">
        <f>$M$5</f>
        <v>45.283333333333339</v>
      </c>
      <c r="Q10" s="8">
        <f>$M$5 + ($M$8 * $M$6)</f>
        <v>46.822000000000003</v>
      </c>
      <c r="R10" t="str">
        <f>IF(OR(G10&lt;O10, G10&gt;Q10), "FUERA DE CONTROL", "OK")</f>
        <v>OK</v>
      </c>
      <c r="T10" s="8">
        <f>$M$9 * $M$6</f>
        <v>0</v>
      </c>
      <c r="U10" s="8">
        <f>$M$6</f>
        <v>2.6666666666666665</v>
      </c>
      <c r="V10" s="8">
        <f>$M$10 * $M$6</f>
        <v>5.6373333333333324</v>
      </c>
      <c r="W10" t="str">
        <f>IF(OR(H10&lt;T10, H10&gt;V10), "FUERA DE CONTROL", "OK")</f>
        <v>OK</v>
      </c>
    </row>
    <row r="11" spans="1:23" x14ac:dyDescent="0.3">
      <c r="A11">
        <v>7</v>
      </c>
      <c r="B11">
        <v>44</v>
      </c>
      <c r="C11">
        <v>43</v>
      </c>
      <c r="D11">
        <v>45</v>
      </c>
      <c r="E11">
        <v>44</v>
      </c>
      <c r="F11">
        <v>42</v>
      </c>
      <c r="G11">
        <f>AVERAGE(B11:F11)</f>
        <v>43.6</v>
      </c>
      <c r="H11">
        <f>MAX(B11:F11) - MIN(B11:F11)</f>
        <v>3</v>
      </c>
      <c r="O11" s="8">
        <f>$M$5 - ($M$8 * $M$6)</f>
        <v>43.744666666666674</v>
      </c>
      <c r="P11" s="8">
        <f>$M$5</f>
        <v>45.283333333333339</v>
      </c>
      <c r="Q11" s="8">
        <f>$M$5 + ($M$8 * $M$6)</f>
        <v>46.822000000000003</v>
      </c>
      <c r="R11" t="str">
        <f>IF(OR(G11&lt;O11, G11&gt;Q11), "FUERA DE CONTROL", "OK")</f>
        <v>FUERA DE CONTROL</v>
      </c>
      <c r="T11" s="8">
        <f>$M$9 * $M$6</f>
        <v>0</v>
      </c>
      <c r="U11" s="8">
        <f>$M$6</f>
        <v>2.6666666666666665</v>
      </c>
      <c r="V11" s="8">
        <f>$M$10 * $M$6</f>
        <v>5.6373333333333324</v>
      </c>
      <c r="W11" t="str">
        <f>IF(OR(H11&lt;T11, H11&gt;V11), "FUERA DE CONTROL", "OK")</f>
        <v>OK</v>
      </c>
    </row>
    <row r="12" spans="1:23" x14ac:dyDescent="0.3">
      <c r="A12">
        <v>8</v>
      </c>
      <c r="B12">
        <v>46</v>
      </c>
      <c r="C12">
        <v>45</v>
      </c>
      <c r="D12">
        <v>47</v>
      </c>
      <c r="E12">
        <v>46</v>
      </c>
      <c r="F12">
        <v>45</v>
      </c>
      <c r="G12">
        <f>AVERAGE(B12:F12)</f>
        <v>45.8</v>
      </c>
      <c r="H12">
        <f>MAX(B12:F12) - MIN(B12:F12)</f>
        <v>2</v>
      </c>
      <c r="O12" s="8">
        <f>$M$5 - ($M$8 * $M$6)</f>
        <v>43.744666666666674</v>
      </c>
      <c r="P12" s="8">
        <f>$M$5</f>
        <v>45.283333333333339</v>
      </c>
      <c r="Q12" s="8">
        <f>$M$5 + ($M$8 * $M$6)</f>
        <v>46.822000000000003</v>
      </c>
      <c r="R12" t="str">
        <f>IF(OR(G12&lt;O12, G12&gt;Q12), "FUERA DE CONTROL", "OK")</f>
        <v>OK</v>
      </c>
      <c r="T12" s="8">
        <f>$M$9 * $M$6</f>
        <v>0</v>
      </c>
      <c r="U12" s="8">
        <f>$M$6</f>
        <v>2.6666666666666665</v>
      </c>
      <c r="V12" s="8">
        <f>$M$10 * $M$6</f>
        <v>5.6373333333333324</v>
      </c>
      <c r="W12" t="str">
        <f>IF(OR(H12&lt;T12, H12&gt;V12), "FUERA DE CONTROL", "OK")</f>
        <v>OK</v>
      </c>
    </row>
    <row r="13" spans="1:23" x14ac:dyDescent="0.3">
      <c r="A13">
        <v>9</v>
      </c>
      <c r="B13">
        <v>45</v>
      </c>
      <c r="C13">
        <v>44</v>
      </c>
      <c r="D13">
        <v>46</v>
      </c>
      <c r="E13">
        <v>45</v>
      </c>
      <c r="F13">
        <v>46</v>
      </c>
      <c r="G13">
        <f>AVERAGE(B13:F13)</f>
        <v>45.2</v>
      </c>
      <c r="H13">
        <f>MAX(B13:F13) - MIN(B13:F13)</f>
        <v>2</v>
      </c>
      <c r="O13" s="8">
        <f>$M$5 - ($M$8 * $M$6)</f>
        <v>43.744666666666674</v>
      </c>
      <c r="P13" s="8">
        <f>$M$5</f>
        <v>45.283333333333339</v>
      </c>
      <c r="Q13" s="8">
        <f>$M$5 + ($M$8 * $M$6)</f>
        <v>46.822000000000003</v>
      </c>
      <c r="R13" t="str">
        <f>IF(OR(G13&lt;O13, G13&gt;Q13), "FUERA DE CONTROL", "OK")</f>
        <v>OK</v>
      </c>
      <c r="T13" s="8">
        <f>$M$9 * $M$6</f>
        <v>0</v>
      </c>
      <c r="U13" s="8">
        <f>$M$6</f>
        <v>2.6666666666666665</v>
      </c>
      <c r="V13" s="8">
        <f>$M$10 * $M$6</f>
        <v>5.6373333333333324</v>
      </c>
      <c r="W13" t="str">
        <f>IF(OR(H13&lt;T13, H13&gt;V13), "FUERA DE CONTROL", "OK")</f>
        <v>OK</v>
      </c>
    </row>
    <row r="14" spans="1:23" x14ac:dyDescent="0.3">
      <c r="A14">
        <v>10</v>
      </c>
      <c r="B14">
        <v>48</v>
      </c>
      <c r="C14">
        <v>47</v>
      </c>
      <c r="D14">
        <v>49</v>
      </c>
      <c r="E14">
        <v>48</v>
      </c>
      <c r="F14">
        <v>46</v>
      </c>
      <c r="G14">
        <f>AVERAGE(B14:F14)</f>
        <v>47.6</v>
      </c>
      <c r="H14">
        <f>MAX(B14:F14) - MIN(B14:F14)</f>
        <v>3</v>
      </c>
      <c r="O14" s="8">
        <f>$M$5 - ($M$8 * $M$6)</f>
        <v>43.744666666666674</v>
      </c>
      <c r="P14" s="8">
        <f>$M$5</f>
        <v>45.283333333333339</v>
      </c>
      <c r="Q14" s="8">
        <f>$M$5 + ($M$8 * $M$6)</f>
        <v>46.822000000000003</v>
      </c>
      <c r="R14" t="str">
        <f>IF(OR(G14&lt;O14, G14&gt;Q14), "FUERA DE CONTROL", "OK")</f>
        <v>FUERA DE CONTROL</v>
      </c>
      <c r="T14" s="8">
        <f>$M$9 * $M$6</f>
        <v>0</v>
      </c>
      <c r="U14" s="8">
        <f>$M$6</f>
        <v>2.6666666666666665</v>
      </c>
      <c r="V14" s="8">
        <f>$M$10 * $M$6</f>
        <v>5.6373333333333324</v>
      </c>
      <c r="W14" t="str">
        <f>IF(OR(H14&lt;T14, H14&gt;V14), "FUERA DE CONTROL", "OK")</f>
        <v>OK</v>
      </c>
    </row>
    <row r="15" spans="1:23" x14ac:dyDescent="0.3">
      <c r="A15">
        <v>11</v>
      </c>
      <c r="B15">
        <v>44</v>
      </c>
      <c r="C15">
        <v>45</v>
      </c>
      <c r="D15">
        <v>43</v>
      </c>
      <c r="E15">
        <v>44</v>
      </c>
      <c r="F15">
        <v>45</v>
      </c>
      <c r="G15">
        <f>AVERAGE(B15:F15)</f>
        <v>44.2</v>
      </c>
      <c r="H15">
        <f>MAX(B15:F15) - MIN(B15:F15)</f>
        <v>2</v>
      </c>
      <c r="O15" s="8">
        <f>$M$5 - ($M$8 * $M$6)</f>
        <v>43.744666666666674</v>
      </c>
      <c r="P15" s="8">
        <f>$M$5</f>
        <v>45.283333333333339</v>
      </c>
      <c r="Q15" s="8">
        <f>$M$5 + ($M$8 * $M$6)</f>
        <v>46.822000000000003</v>
      </c>
      <c r="R15" t="str">
        <f>IF(OR(G15&lt;O15, G15&gt;Q15), "FUERA DE CONTROL", "OK")</f>
        <v>OK</v>
      </c>
      <c r="T15" s="8">
        <f>$M$9 * $M$6</f>
        <v>0</v>
      </c>
      <c r="U15" s="8">
        <f>$M$6</f>
        <v>2.6666666666666665</v>
      </c>
      <c r="V15" s="8">
        <f>$M$10 * $M$6</f>
        <v>5.6373333333333324</v>
      </c>
      <c r="W15" t="str">
        <f>IF(OR(H15&lt;T15, H15&gt;V15), "FUERA DE CONTROL", "OK")</f>
        <v>OK</v>
      </c>
    </row>
    <row r="16" spans="1:23" x14ac:dyDescent="0.3">
      <c r="A16">
        <v>12</v>
      </c>
      <c r="B16">
        <v>46</v>
      </c>
      <c r="C16">
        <v>47</v>
      </c>
      <c r="D16">
        <v>45</v>
      </c>
      <c r="E16">
        <v>46</v>
      </c>
      <c r="F16">
        <v>44</v>
      </c>
      <c r="G16">
        <f>AVERAGE(B16:F16)</f>
        <v>45.6</v>
      </c>
      <c r="H16">
        <f>MAX(B16:F16) - MIN(B16:F16)</f>
        <v>3</v>
      </c>
      <c r="O16" s="8">
        <f>$M$5 - ($M$8 * $M$6)</f>
        <v>43.744666666666674</v>
      </c>
      <c r="P16" s="8">
        <f>$M$5</f>
        <v>45.283333333333339</v>
      </c>
      <c r="Q16" s="8">
        <f>$M$5 + ($M$8 * $M$6)</f>
        <v>46.822000000000003</v>
      </c>
      <c r="R16" t="str">
        <f>IF(OR(G16&lt;O16, G16&gt;Q16), "FUERA DE CONTROL", "OK")</f>
        <v>OK</v>
      </c>
      <c r="T16" s="8">
        <f>$M$9 * $M$6</f>
        <v>0</v>
      </c>
      <c r="U16" s="8">
        <f>$M$6</f>
        <v>2.6666666666666665</v>
      </c>
      <c r="V16" s="8">
        <f>$M$10 * $M$6</f>
        <v>5.6373333333333324</v>
      </c>
      <c r="W16" t="str">
        <f>IF(OR(H16&lt;T16, H16&gt;V16), "FUERA DE CONTROL", "OK")</f>
        <v>OK</v>
      </c>
    </row>
  </sheetData>
  <mergeCells count="1">
    <mergeCell ref="J4:M4"/>
  </mergeCells>
  <conditionalFormatting sqref="R5:R16 W5:W16">
    <cfRule type="cellIs" dxfId="0" priority="1" stopIfTrue="1" operator="equal">
      <formula>"FUERA DE CONTROL"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2026-07-04T15:22:13Z</dcterms:created>
  <dcterms:modified xsi:type="dcterms:W3CDTF">2026-07-04T15:28:06Z</dcterms:modified>
</cp:coreProperties>
</file>